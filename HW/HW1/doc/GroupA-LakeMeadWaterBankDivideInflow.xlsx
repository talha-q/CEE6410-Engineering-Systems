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Directions" sheetId="1" r:id="rId4"/>
    <sheet state="visible" name="Versions" sheetId="2" r:id="rId5"/>
    <sheet state="visible" name="Master" sheetId="3" r:id="rId6"/>
    <sheet state="visible" name="DynamicStoragePlot" sheetId="4" r:id="rId7"/>
    <sheet state="visible" name="DivideInflow" sheetId="5" r:id="rId8"/>
    <sheet state="visible" name="TribalWater" sheetId="6" r:id="rId9"/>
    <sheet state="visible" name="SplitInflowPlot" sheetId="7" r:id="rId10"/>
    <sheet state="visible" name="SplitInflowForPlot" sheetId="8" r:id="rId11"/>
    <sheet state="visible" name="MandatoryConservation" sheetId="9" r:id="rId12"/>
    <sheet state="visible" name="PowellReleaseTemperature" sheetId="10" r:id="rId13"/>
    <sheet state="visible" name="Mead-Elevation-Area" sheetId="11" r:id="rId14"/>
    <sheet state="visible" name="CellType" sheetId="12" r:id="rId15"/>
    <sheet state="visible" name="BasinConservationPrograms" sheetId="13" r:id="rId16"/>
    <sheet state="visible" name="LakeMeadInflowScenarios" sheetId="14" r:id="rId17"/>
    <sheet state="visible" name="DynamicPlotData" sheetId="15" r:id="rId18"/>
  </sheets>
  <definedNames>
    <definedName name="_xlchart.v1.43">Master!$C$144:$G$144</definedName>
    <definedName name="_xlchart.v1.64">DynamicPlotData!$B$2:$F$2</definedName>
    <definedName name="_xlchart.v1.48">DynamicPlotData!$B$2:$F$2</definedName>
    <definedName name="_xlchart.v1.31">Master!$C$27:$G$27</definedName>
    <definedName name="_xlchart.v1.60">Master!$C$145:$G$145</definedName>
    <definedName name="_xlchart.v1.30">Master!$C$147:$G$147</definedName>
    <definedName name="_xlchart.v1.55">Master!$C$27:$G$27</definedName>
    <definedName name="_xlchart.v1.20">Master!$C$145:$G$145</definedName>
    <definedName name="_xlchart.v1.41">Master!$C$142:$G$142</definedName>
    <definedName name="_xlchart.v1.57">Master!$C$142:$G$142</definedName>
    <definedName name="_xlchart.v1.19">Master!$C$144:$G$144</definedName>
    <definedName name="_xlchart.v1.50">Master!$C$143:$G$143</definedName>
    <definedName name="_xlchart.v1.11">Master!$C$144:$G$144</definedName>
    <definedName name="_xlchart.v1.38">Master!$C$147:$G$147</definedName>
    <definedName name="_xlchart.v1.34">Master!$C$143:$G$143</definedName>
    <definedName name="_xlchart.v1.36">Master!$C$145:$G$145</definedName>
    <definedName name="_xlchart.v1.25">Master!$C$142:$G$142</definedName>
    <definedName name="_xlchart.v1.26">Master!$C$143:$G$143</definedName>
    <definedName name="_xlchart.v1.14">Master!$C$147:$G$147</definedName>
    <definedName name="_xlchart.v1.61">Master!$C$146:$G$146</definedName>
    <definedName name="_xlchart.v1.51">Master!$C$144:$G$144</definedName>
    <definedName name="_xlchart.v1.3">Master!$C$144:$G$144</definedName>
    <definedName name="_xlchart.v1.58">Master!$C$143:$G$143</definedName>
    <definedName name="_xlchart.v1.40">DynamicPlotData!$B$2:$F$2</definedName>
    <definedName name="_xlchart.v1.7">Master!$C$27:$G$27</definedName>
    <definedName name="_xlchart.v1.42">Master!$C$143:$G$143</definedName>
    <definedName name="_xlchart.v1.5">Master!$C$146:$G$146</definedName>
    <definedName name="_xlchart.v1.32">DynamicPlotData!$B$2:$F$2</definedName>
    <definedName name="_xlchart.v1.53">Master!$C$146:$G$146</definedName>
    <definedName name="_xlchart.v1.22">Master!$C$147:$G$147</definedName>
    <definedName name="_xlchart.v1.68">Master!$C$145:$G$145</definedName>
    <definedName name="_xlchart.v1.15">Master!$C$27:$G$27</definedName>
    <definedName name="_xlchart.v1.37">Master!$C$146:$G$146</definedName>
    <definedName name="_xlchart.v1.18">Master!$C$143:$G$143</definedName>
    <definedName name="_xlchart.v1.65">Master!$C$142:$G$142</definedName>
    <definedName name="_xlchart.v1.71">Master!$C$27:$G$27</definedName>
    <definedName name="_xlchart.v1.56">DynamicPlotData!$B$2:$F$2</definedName>
    <definedName name="_xlchart.v1.17">Master!$C$142:$G$142</definedName>
    <definedName name="_xlchart.v1.8">DynamicPlotData!$B$2:$F$2</definedName>
    <definedName name="_xlchart.v1.45">Master!$C$146:$G$146</definedName>
    <definedName name="_xlchart.v1.63">Master!$C$27:$G$27</definedName>
    <definedName name="_xlchart.v1.46">Master!$C$147:$G$147</definedName>
    <definedName name="_xlchart.v1.4">Master!$C$145:$G$145</definedName>
    <definedName name="_xlchart.v1.70">Master!$C$147:$G$147</definedName>
    <definedName name="_xlchart.v1.12">Master!$C$145:$G$145</definedName>
    <definedName name="_xlchart.v1.47">Master!$C$27:$G$27</definedName>
    <definedName name="_xlchart.v1.0">DynamicPlotData!$B$2:$F$2</definedName>
    <definedName name="_xlchart.v1.67">Master!$C$144:$G$144</definedName>
    <definedName name="_xlchart.v1.52">Master!$C$145:$G$145</definedName>
    <definedName name="_xlchart.v1.27">Master!$C$144:$G$144</definedName>
    <definedName name="_xlchart.v1.39">Master!$C$27:$G$27</definedName>
    <definedName name="_xlchart.v1.24">DynamicPlotData!$B$2:$F$2</definedName>
    <definedName name="_xlchart.v1.21">Master!$C$146:$G$146</definedName>
    <definedName name="_xlchart.v1.69">Master!$C$146:$G$146</definedName>
    <definedName name="_xlchart.v1.54">Master!$C$147:$G$147</definedName>
    <definedName name="_xlchart.v1.35">Master!$C$144:$G$144</definedName>
    <definedName name="_xlchart.v1.10">Master!$C$143:$G$143</definedName>
    <definedName name="_xlchart.v1.49">Master!$C$142:$G$142</definedName>
    <definedName name="_xlchart.v1.16">DynamicPlotData!$B$2:$F$2</definedName>
    <definedName name="_xlchart.v1.59">Master!$C$144:$G$144</definedName>
    <definedName name="_xlchart.v1.33">Master!$C$142:$G$142</definedName>
    <definedName name="_xlchart.v1.2">Master!$C$143:$G$143</definedName>
    <definedName name="_xlchart.v1.9">Master!$C$142:$G$142</definedName>
    <definedName name="_xlchart.v1.28">Master!$C$145:$G$145</definedName>
    <definedName name="_xlchart.v1.13">Master!$C$146:$G$146</definedName>
    <definedName name="_xlchart.v1.62">Master!$C$147:$G$147</definedName>
    <definedName name="_xlchart.v1.1">Master!$C$142:$G$142</definedName>
    <definedName name="_xlchart.v1.44">Master!$C$145:$G$145</definedName>
    <definedName name="_xlchart.v1.23">Master!$C$27:$G$27</definedName>
    <definedName name="_xlchart.v1.6">Master!$C$147:$G$147</definedName>
    <definedName name="_xlchart.v1.66">Master!$C$143:$G$143</definedName>
    <definedName name="_xlchart.v1.29">Master!$C$146:$G$146</definedName>
  </definedNames>
  <calcPr/>
  <extLst>
    <ext uri="GoogleSheetsCustomDataVersion2">
      <go:sheetsCustomData xmlns:go="http://customooxmlschemas.google.com/" r:id="rId19" roundtripDataChecksum="M+HcPl0WOpnrtMvqgMhOmV5ZouxgZEInU/FC77+ObQg="/>
    </ext>
  </extLst>
</workbook>
</file>

<file path=xl/sharedStrings.xml><?xml version="1.0" encoding="utf-8"?>
<sst xmlns="http://schemas.openxmlformats.org/spreadsheetml/2006/main" count="710" uniqueCount="495">
  <si>
    <t>Date Implimented</t>
  </si>
  <si>
    <t>Version</t>
  </si>
  <si>
    <t>Immersive Model for Lake Mead based on the Principle of Divide Reservoir Inflow</t>
  </si>
  <si>
    <t>Changes</t>
  </si>
  <si>
    <t>Hours</t>
  </si>
  <si>
    <t>Implemented By</t>
  </si>
  <si>
    <t>Suggested By</t>
  </si>
  <si>
    <t>Date Suggested</t>
  </si>
  <si>
    <t>To Do List</t>
  </si>
  <si>
    <r>
      <rPr>
        <rFont val="Calibri"/>
        <b/>
        <color theme="1"/>
        <sz val="11.0"/>
      </rPr>
      <t xml:space="preserve">Participants enter values in row blocks with bold </t>
    </r>
    <r>
      <rPr>
        <rFont val="Calibri"/>
        <b/>
        <color rgb="FF0000FF"/>
        <sz val="11.0"/>
      </rPr>
      <t>blue instructions</t>
    </r>
    <r>
      <rPr>
        <rFont val="Calibri"/>
        <b/>
        <color theme="1"/>
        <sz val="11.0"/>
      </rPr>
      <t xml:space="preserve">. See help in </t>
    </r>
    <r>
      <rPr>
        <rFont val="Calibri"/>
        <b/>
        <color theme="7"/>
        <sz val="11.0"/>
      </rPr>
      <t>Column N</t>
    </r>
    <r>
      <rPr>
        <rFont val="Calibri"/>
        <b/>
        <color theme="1"/>
        <sz val="11.0"/>
      </rPr>
      <t>.</t>
    </r>
  </si>
  <si>
    <t>OVERVIEW</t>
  </si>
  <si>
    <t>1. Assign participants and define strategies in Cells A5 to C10 (Up to 5 players):</t>
  </si>
  <si>
    <t>1.0</t>
  </si>
  <si>
    <t>Copied spreadsheet from Colorado River Basin Water Accounts</t>
  </si>
  <si>
    <t>HELP, CONTEXT, and SUGGESTIONS</t>
  </si>
  <si>
    <t>Rosenberg</t>
  </si>
  <si>
    <t>User</t>
  </si>
  <si>
    <t>Person</t>
  </si>
  <si>
    <t>Vulnerability and Strategy to Manage Vulnerability</t>
  </si>
  <si>
    <t>1.1</t>
  </si>
  <si>
    <t>Update for Lake Mead. Water Users, Remove Powell, Modify water balance, Update directions</t>
  </si>
  <si>
    <r>
      <rPr>
        <rFont val="Calibri"/>
        <color theme="1"/>
        <sz val="11.0"/>
      </rPr>
      <t>The purpose of this tool is to give collaborators the opportunity to immerse in and personify water user roles for a Lake Mead model based on the principle of divide reservoir inflow. The process is:</t>
    </r>
    <r>
      <rPr>
        <rFont val="Calibri"/>
        <b/>
        <color theme="1"/>
        <sz val="11.0"/>
      </rPr>
      <t xml:space="preserve"> A) Divide reservoir inflow</t>
    </r>
    <r>
      <rPr>
        <rFont val="Calibri"/>
        <color theme="1"/>
        <sz val="11.0"/>
      </rPr>
      <t xml:space="preserve">, </t>
    </r>
    <r>
      <rPr>
        <rFont val="Calibri"/>
        <b/>
        <color theme="1"/>
        <sz val="11.0"/>
      </rPr>
      <t>B) Subtract evaporation</t>
    </r>
    <r>
      <rPr>
        <rFont val="Calibri"/>
        <color theme="1"/>
        <sz val="11.0"/>
      </rPr>
      <t>, and</t>
    </r>
    <r>
      <rPr>
        <rFont val="Calibri"/>
        <b/>
        <color theme="1"/>
        <sz val="11.0"/>
      </rPr>
      <t xml:space="preserve"> C) Users withdraw and conserve within their available water</t>
    </r>
    <r>
      <rPr>
        <rFont val="Calibri"/>
        <color theme="1"/>
        <sz val="11.0"/>
      </rPr>
      <t>, others choices, and real-time discussion of choices. We see uses of the tool for two purposes:</t>
    </r>
  </si>
  <si>
    <t>1.2</t>
  </si>
  <si>
    <t>Add Tribal water account</t>
  </si>
  <si>
    <t>1.3</t>
  </si>
  <si>
    <t>Start documenting model with instructions and user guide.</t>
  </si>
  <si>
    <t>Help assign parties and specify strategies</t>
  </si>
  <si>
    <t>1.3.1</t>
  </si>
  <si>
    <t>Update text in ReadMe-Directions and Model Guide</t>
  </si>
  <si>
    <t>1.4</t>
  </si>
  <si>
    <t>Add parameter to specify how much of allocation for Tribes of the Lower Basin comes from California vs. Arizona</t>
  </si>
  <si>
    <t>1.4.1</t>
  </si>
  <si>
    <t>Document Tribal parameter in Users Guide</t>
  </si>
  <si>
    <t>1.4.2</t>
  </si>
  <si>
    <t>Add images of key ideas to ReadMe</t>
  </si>
  <si>
    <t>1.4.3</t>
  </si>
  <si>
    <t>Add recent water use in Model Guide</t>
  </si>
  <si>
    <t>CEE 6490 students; Akbar</t>
  </si>
  <si>
    <t>Add extreme low Lake Mead inflow hydrologic scenarios</t>
  </si>
  <si>
    <t>Myers</t>
  </si>
  <si>
    <t>Collaborators in model session</t>
  </si>
  <si>
    <t>Add Tribal Nations in Lake Mead inflow allocation</t>
  </si>
  <si>
    <t>Collaborators in model session; Rosenberg</t>
  </si>
  <si>
    <t>1.6.1</t>
  </si>
  <si>
    <t>Add new images for Tribal allocation</t>
  </si>
  <si>
    <t>Add new row for unit price</t>
  </si>
  <si>
    <t>Reclamation - Protect Zone</t>
  </si>
  <si>
    <t>1.8</t>
  </si>
  <si>
    <t>Fixed errors in OFFSETs at summary at bottom of the master sheet</t>
  </si>
  <si>
    <t>Sam</t>
  </si>
  <si>
    <t>Set Lake Mead Protection Elevation of 1,020 feet as defined in the Lower Basin Drought Contingency Plan (USBR, 2019). Lake Mead will not fall below this level.
Lower the protection elevation to allocate more active storage to other users.</t>
  </si>
  <si>
    <t>1.9</t>
  </si>
  <si>
    <t>Fixed ICS starting storage so that when there is less storage above the Reclamation protection volume than ICS balances, the model prorates the user's starting storages. When there is more available water above the protection volume than ICS balances, each user gets their ICS balance and Tribal Nations get the remainder</t>
  </si>
  <si>
    <t>1.9.1</t>
  </si>
  <si>
    <t>Added starting available water row</t>
  </si>
  <si>
    <t>California</t>
  </si>
  <si>
    <t>Maddie</t>
  </si>
  <si>
    <t>Continue mandatory conservation and cutback from 4.4 maf per year as Lake Mead level declines from 1,090 to 1,025 feet (USBR, 2019). See cutback schedule in MandatoryConservation sheet. These values exclude 0.95 maf per year of use by First Nations in the Lower Basin</t>
  </si>
  <si>
    <r>
      <rPr>
        <rFont val="Calibri"/>
        <color theme="1"/>
        <sz val="11.0"/>
      </rPr>
      <t xml:space="preserve">    1) As researchers we want to learn: </t>
    </r>
    <r>
      <rPr>
        <rFont val="Calibri"/>
        <i/>
        <color theme="1"/>
        <sz val="11.0"/>
      </rPr>
      <t>Why</t>
    </r>
    <r>
      <rPr>
        <rFont val="Calibri"/>
        <color theme="1"/>
        <sz val="11.0"/>
      </rPr>
      <t xml:space="preserve"> basin partners choose assumptions and </t>
    </r>
    <r>
      <rPr>
        <rFont val="Calibri"/>
        <i/>
        <color theme="1"/>
        <sz val="11.0"/>
      </rPr>
      <t>how</t>
    </r>
    <r>
      <rPr>
        <rFont val="Calibri"/>
        <color theme="1"/>
        <sz val="11.0"/>
      </rPr>
      <t xml:space="preserve"> extreme; </t>
    </r>
    <r>
      <rPr>
        <rFont val="Calibri"/>
        <i/>
        <color theme="1"/>
        <sz val="11.0"/>
      </rPr>
      <t>Why</t>
    </r>
    <r>
      <rPr>
        <rFont val="Calibri"/>
        <color theme="1"/>
        <sz val="11.0"/>
      </rPr>
      <t xml:space="preserve"> and </t>
    </r>
    <r>
      <rPr>
        <rFont val="Calibri"/>
        <i/>
        <color theme="1"/>
        <sz val="11.0"/>
      </rPr>
      <t>how</t>
    </r>
    <r>
      <rPr>
        <rFont val="Calibri"/>
        <color theme="1"/>
        <sz val="11.0"/>
      </rPr>
      <t xml:space="preserve"> basin partners articulate their risk of uncertain future water supply and manage their vulnerability; and </t>
    </r>
    <r>
      <rPr>
        <rFont val="Calibri"/>
        <i/>
        <color theme="1"/>
        <sz val="11.0"/>
      </rPr>
      <t>Which</t>
    </r>
    <r>
      <rPr>
        <rFont val="Calibri"/>
        <color theme="1"/>
        <sz val="11.0"/>
      </rPr>
      <t xml:space="preserve"> new insights they take from a model session. </t>
    </r>
  </si>
  <si>
    <t>Arizona</t>
  </si>
  <si>
    <t>Talha</t>
  </si>
  <si>
    <t>Continue mandatory conservation and cutback from 2.8 maf per year as Lake Mead level declines from 1,090 to 1,025 feet (USBR, 2019). See cutback schedule in MandatoryConservation sheet. These values exclude 0.95 maf per year of use by First Nations in the Lower Basin. Cut back an addition amount per year to represent the 500-Plus Plan (Allhands, 2021). Buy water to reduce mandatory conservation. Save some water for future years.</t>
  </si>
  <si>
    <t>Nevada</t>
  </si>
  <si>
    <t>Continue mandatory conservation and cutback from 0.3 maf per year as Lake Mead level declines from 1,090 to 1,025 feet (USBR, 2019). See cutback schedule in MandatoryConservation sheet. These values exclude 0.95 maf per year of use by First Nations in the Lower Basin.
Cut back an addition amount per year to represent the 500-Plus Plan (Allhands, 2021).
Buy water to reduce mandatory conservation.
Save some water for future years.</t>
  </si>
  <si>
    <t xml:space="preserve">    2) Provoke thought and discussion to:</t>
  </si>
  <si>
    <t>Mexico</t>
  </si>
  <si>
    <t>Lan</t>
  </si>
  <si>
    <t>Continue mandatory conservation and cutback from 1.5 maf per year as Lake Mead levels decline (IBWC, 2021). See MandatoryConservation sheet. Conserve more water beyond mandatory targets. Lease water to get money for non-water projects.</t>
  </si>
  <si>
    <t>Tribal Nations of the Lower Basin</t>
  </si>
  <si>
    <t>Save water for future use.</t>
  </si>
  <si>
    <r>
      <rPr>
        <rFont val="Calibri"/>
        <color theme="1"/>
        <sz val="11.0"/>
      </rPr>
      <t xml:space="preserve">a) 	Stabilize and recover reservoir storage under conditions of low storage </t>
    </r>
    <r>
      <rPr>
        <rFont val="Calibri"/>
        <b/>
        <color theme="1"/>
        <sz val="11.0"/>
      </rPr>
      <t>and</t>
    </r>
    <r>
      <rPr>
        <rFont val="Calibri"/>
        <color theme="1"/>
        <sz val="11.0"/>
      </rPr>
      <t xml:space="preserve"> low inflow, and</t>
    </r>
  </si>
  <si>
    <t>1A. Explain Cell Types</t>
  </si>
  <si>
    <t>Physical watershed data</t>
  </si>
  <si>
    <t>Help explain cell types</t>
  </si>
  <si>
    <t>b) Give users more autonomy to manage their conflicting vulnerabilities to water shortages.</t>
  </si>
  <si>
    <t>KEY IDEAS</t>
  </si>
  <si>
    <t>Individual decision</t>
  </si>
  <si>
    <t>Joint decision</t>
  </si>
  <si>
    <t>1)</t>
  </si>
  <si>
    <t>Calculated cell</t>
  </si>
  <si>
    <t>There is broad agreement in Reclamation's modeling methods that Colorado River flows will be more volative, declining, and have longer-lasting periods of flow.</t>
  </si>
  <si>
    <t>1B. Make Lake Mead Assumptions</t>
  </si>
  <si>
    <t>Elevation (feet)</t>
  </si>
  <si>
    <t>Volume (maf)</t>
  </si>
  <si>
    <t>Help make assumptions</t>
  </si>
  <si>
    <t xml:space="preserve">     Evaporation rate (feet/year)</t>
  </si>
  <si>
    <t>2)</t>
  </si>
  <si>
    <t>Lake Mead water level is the sum of the protection elevation and each user’s available water.</t>
  </si>
  <si>
    <t>Help evaporation rate</t>
  </si>
  <si>
    <t xml:space="preserve">     Start storage (million acre feet)</t>
  </si>
  <si>
    <t>3)</t>
  </si>
  <si>
    <t>Each user manages all their available water not just prior conserved water.</t>
  </si>
  <si>
    <t>Dec, 2024</t>
  </si>
  <si>
    <t>https://www.usbr.gov/lc/region/g4000/hourly/mead-elv.html</t>
  </si>
  <si>
    <t>4)</t>
  </si>
  <si>
    <t>Tribal Nations of the Lower Basin manage their own settled water rights (82.2% is from Arizona, 1.3% is from Nevada, 16.4% is from California).</t>
  </si>
  <si>
    <t>Help start storage</t>
  </si>
  <si>
    <t>See Let's Start Guide for visualizations of Key Ideas ---</t>
  </si>
  <si>
    <t>Here</t>
  </si>
  <si>
    <t>Help protect elevation</t>
  </si>
  <si>
    <t xml:space="preserve">     Storage above Protect Zone</t>
  </si>
  <si>
    <t>REQUIREMENTS</t>
  </si>
  <si>
    <t>Help storage above protect zone</t>
  </si>
  <si>
    <t xml:space="preserve">     Water Conservation Program (ICS) Total Balance</t>
  </si>
  <si>
    <t>End of 2023</t>
  </si>
  <si>
    <t>Help Water Conservation Program Total Balance</t>
  </si>
  <si>
    <t>Use March 2024 Lower Basin Alternative shortages to divide inflow among water users</t>
  </si>
  <si>
    <r>
      <rPr>
        <rFont val="Calibri"/>
        <b/>
        <color theme="1"/>
        <sz val="11.0"/>
      </rPr>
      <t xml:space="preserve">Session Guide: </t>
    </r>
    <r>
      <rPr>
        <rFont val="Calibri"/>
        <b val="0"/>
        <color theme="1"/>
        <sz val="11.0"/>
      </rPr>
      <t>1 person to setup in Google Sheets (see Setup below), invite participants, and organize play.</t>
    </r>
  </si>
  <si>
    <t xml:space="preserve">     Remaining Storage above Protect and ICS Balances (maf)</t>
  </si>
  <si>
    <t>A transformation uses percentage splits of shortages to specify percentage splits of Lake Mead Inflow.</t>
  </si>
  <si>
    <t>Help remaining storage above protect and ICS</t>
  </si>
  <si>
    <t>Buschatzke, T., Hamby, J. B., and Entsminger, J. (2024). "Lower Basin Alternative for the Post-2026 Coordinated Operation of the Colorado River Basin." https://www.snwa.com/assets/pdf/lower-basin-alternative-letter-march2024.pdf [Accessed on: August 14, 2024].</t>
  </si>
  <si>
    <r>
      <rPr>
        <rFont val="Calibri"/>
        <b/>
        <color theme="1"/>
        <sz val="11.0"/>
      </rPr>
      <t>Number of People:</t>
    </r>
    <r>
      <rPr>
        <rFont val="Calibri"/>
        <color theme="1"/>
        <sz val="11.0"/>
      </rPr>
      <t xml:space="preserve"> 2 or more (Session guide may also participate).</t>
    </r>
  </si>
  <si>
    <t xml:space="preserve">     Percent of Tribal Nation water in California</t>
  </si>
  <si>
    <t>Total Shortage (maf per year)</t>
  </si>
  <si>
    <t>Help percent of Tribal Nation water in CA</t>
  </si>
  <si>
    <t>Total</t>
  </si>
  <si>
    <t>Based Off of 2024 Lower Basin Shortage Agreement: Tribal Nations Included in Lake Mead Inflow Allocation</t>
  </si>
  <si>
    <t xml:space="preserve">     Percent of Tribal Nation water in Arizona</t>
  </si>
  <si>
    <r>
      <rPr>
        <rFont val="Calibri"/>
        <b/>
        <color theme="1"/>
        <sz val="11.0"/>
      </rPr>
      <t>Time:</t>
    </r>
    <r>
      <rPr>
        <rFont val="Calibri"/>
        <color theme="1"/>
        <sz val="11.0"/>
      </rPr>
      <t xml:space="preserve"> 1 to 3 hours.</t>
    </r>
  </si>
  <si>
    <t>Help percent of Tribal Nation water in AZ</t>
  </si>
  <si>
    <t>Water Budget Component (maf unless noted)</t>
  </si>
  <si>
    <r>
      <rPr>
        <rFont val="Calibri"/>
        <b/>
        <color theme="1"/>
        <sz val="11.0"/>
      </rPr>
      <t>Software:</t>
    </r>
    <r>
      <rPr>
        <rFont val="Calibri"/>
        <color theme="1"/>
        <sz val="11.0"/>
      </rPr>
      <t xml:space="preserve"> Session Guide has a Google Account.</t>
    </r>
  </si>
  <si>
    <t>As Percent of Total Shortage</t>
  </si>
  <si>
    <t>Initialize</t>
  </si>
  <si>
    <t>Year 1</t>
  </si>
  <si>
    <t>Row</t>
  </si>
  <si>
    <t>Year 2</t>
  </si>
  <si>
    <t>Year 3</t>
  </si>
  <si>
    <t>Year 4</t>
  </si>
  <si>
    <t>Year 5</t>
  </si>
  <si>
    <t>Year 6</t>
  </si>
  <si>
    <t>Year 7</t>
  </si>
  <si>
    <t>Total Shortage
(maf per year) [A]</t>
  </si>
  <si>
    <t>Year 8</t>
  </si>
  <si>
    <t>Year 9</t>
  </si>
  <si>
    <t>Year 10</t>
  </si>
  <si>
    <t>Lake Mead Inflow
(maf per year) [B]</t>
  </si>
  <si>
    <t>Share of Lake Mead Inflow (maf per year)</t>
  </si>
  <si>
    <t>DIRECTIONS to GUIDE a MODEL SESSION</t>
  </si>
  <si>
    <t>Percentage of Lake Mead Inflow</t>
  </si>
  <si>
    <t>2. Specify Lake Mead Inflow</t>
  </si>
  <si>
    <t>Setup</t>
  </si>
  <si>
    <t>Help specify Lake Mead inflow</t>
  </si>
  <si>
    <t>Intervening (Grand Canyon) inflow</t>
  </si>
  <si>
    <t>Download this Excel file (done :)</t>
  </si>
  <si>
    <t>Arizona
[C]</t>
  </si>
  <si>
    <t>Help intervening Grand Canyon inflow</t>
  </si>
  <si>
    <r>
      <rPr>
        <rFont val="Calibri"/>
        <color theme="1"/>
        <sz val="11.0"/>
      </rPr>
      <t xml:space="preserve">Move this Excel file to your Google Drive. Open as a Google Sheet. In the Upper Right, click the </t>
    </r>
    <r>
      <rPr>
        <rFont val="Calibri"/>
        <b/>
        <color theme="1"/>
        <sz val="11.0"/>
      </rPr>
      <t>Share</t>
    </r>
    <r>
      <rPr>
        <rFont val="Calibri"/>
        <color theme="1"/>
        <sz val="11.0"/>
      </rPr>
      <t xml:space="preserve"> button. Add emails and set permissions so other participants can access the Google Sheets. Or copy and share the sheet's URL.</t>
    </r>
  </si>
  <si>
    <t>Nevada
[D]</t>
  </si>
  <si>
    <t>California
[E]</t>
  </si>
  <si>
    <t>Mexico
[F]</t>
  </si>
  <si>
    <t>Tribal
Nations [T]</t>
  </si>
  <si>
    <t>Total [G]</t>
  </si>
  <si>
    <t>Arizona
[H]</t>
  </si>
  <si>
    <t>Nevada
[I]</t>
  </si>
  <si>
    <t>California
[J]</t>
  </si>
  <si>
    <t>Mexico
[K]</t>
  </si>
  <si>
    <t>Total [L]</t>
  </si>
  <si>
    <r>
      <rPr>
        <rFont val="Calibri"/>
        <color theme="1"/>
        <sz val="11.0"/>
      </rPr>
      <t xml:space="preserve">Open the </t>
    </r>
    <r>
      <rPr>
        <rFont val="Calibri"/>
        <b/>
        <color theme="1"/>
        <sz val="11.0"/>
      </rPr>
      <t>Versions</t>
    </r>
    <r>
      <rPr>
        <rFont val="Calibri"/>
        <color theme="1"/>
        <sz val="11.0"/>
      </rPr>
      <t xml:space="preserve"> Worksheet to see updates.</t>
    </r>
  </si>
  <si>
    <t>0.0 to 0.3</t>
  </si>
  <si>
    <t>[1]</t>
  </si>
  <si>
    <r>
      <rPr>
        <rFont val="Calibri"/>
        <color theme="1"/>
        <sz val="11.0"/>
      </rPr>
      <t xml:space="preserve">Duplicate the </t>
    </r>
    <r>
      <rPr>
        <rFont val="Calibri"/>
        <b/>
        <color theme="1"/>
        <sz val="11.0"/>
      </rPr>
      <t>Master</t>
    </r>
    <r>
      <rPr>
        <rFont val="Calibri"/>
        <color theme="1"/>
        <sz val="11.0"/>
      </rPr>
      <t xml:space="preserve"> Worksheet to work on in this session and save a blank version for later use.</t>
    </r>
  </si>
  <si>
    <t>Invite 1 or more other people to join the Google Sheet.</t>
  </si>
  <si>
    <t>Mead to Imperial Dam intervening inflow</t>
  </si>
  <si>
    <r>
      <rPr>
        <rFont val="Calibri"/>
        <color theme="1"/>
        <sz val="11.0"/>
      </rPr>
      <t xml:space="preserve">a. In the upper right of the Google Sheet, click the </t>
    </r>
    <r>
      <rPr>
        <rFont val="Calibri"/>
        <b/>
        <color theme="1"/>
        <sz val="11.0"/>
      </rPr>
      <t>Share</t>
    </r>
    <r>
      <rPr>
        <rFont val="Calibri"/>
        <color theme="1"/>
        <sz val="11.0"/>
      </rPr>
      <t xml:space="preserve"> button.</t>
    </r>
  </si>
  <si>
    <t>b. Add emails, and set permissions so players can access the Google Sheet. Or copy and share the sheet's URL.</t>
  </si>
  <si>
    <t>Help Mead to Imperial intervening flow</t>
  </si>
  <si>
    <t>Havasu / Parker evaporation and ET</t>
  </si>
  <si>
    <t>Play</t>
  </si>
  <si>
    <t>Help Havasu/Parker evap. and ET</t>
  </si>
  <si>
    <r>
      <rPr>
        <rFont val="Calibri"/>
        <color theme="1"/>
        <sz val="11.0"/>
      </rPr>
      <t xml:space="preserve">On the </t>
    </r>
    <r>
      <rPr>
        <rFont val="Calibri"/>
        <b/>
        <color theme="1"/>
        <sz val="11.0"/>
      </rPr>
      <t>Master</t>
    </r>
    <r>
      <rPr>
        <rFont val="Calibri"/>
        <color theme="1"/>
        <sz val="11.0"/>
      </rPr>
      <t xml:space="preserve"> Worksheet, scroll down Column A. Participants enter values in rows with </t>
    </r>
    <r>
      <rPr>
        <rFont val="Calibri"/>
        <b/>
        <color rgb="FF0000FF"/>
        <sz val="11.0"/>
      </rPr>
      <t>Blue text</t>
    </r>
    <r>
      <rPr>
        <rFont val="Calibri"/>
        <color theme="1"/>
        <sz val="11.0"/>
      </rPr>
      <t>.</t>
    </r>
  </si>
  <si>
    <t>Beginning of Year Lake Mead</t>
  </si>
  <si>
    <t xml:space="preserve">     Storage (maf)</t>
  </si>
  <si>
    <r>
      <rPr>
        <rFont val="Calibri"/>
        <color theme="1"/>
        <sz val="11.0"/>
      </rPr>
      <t xml:space="preserve">a. For example, in Rows 4-10, particants select a </t>
    </r>
    <r>
      <rPr>
        <rFont val="Calibri"/>
        <b/>
        <color theme="1"/>
        <sz val="11.0"/>
      </rPr>
      <t>User,</t>
    </r>
    <r>
      <rPr>
        <rFont val="Calibri"/>
        <color theme="1"/>
        <sz val="11.0"/>
      </rPr>
      <t xml:space="preserve"> articulate the </t>
    </r>
    <r>
      <rPr>
        <rFont val="Calibri"/>
        <b/>
        <color theme="1"/>
        <sz val="11.0"/>
      </rPr>
      <t>User's vulnerability to water shortages,</t>
    </r>
    <r>
      <rPr>
        <rFont val="Calibri"/>
        <color theme="1"/>
        <sz val="11.0"/>
      </rPr>
      <t xml:space="preserve"> and define a </t>
    </r>
    <r>
      <rPr>
        <rFont val="Calibri"/>
        <b/>
        <color theme="1"/>
        <sz val="11.0"/>
      </rPr>
      <t>strategy to manage vulnerability</t>
    </r>
    <r>
      <rPr>
        <rFont val="Calibri"/>
        <color theme="1"/>
        <sz val="11.0"/>
      </rPr>
      <t>. If fewer than 6 participants, participants select multiple users.</t>
    </r>
  </si>
  <si>
    <r>
      <rPr>
        <rFont val="Calibri"/>
        <color theme="1"/>
        <sz val="11.0"/>
      </rPr>
      <t xml:space="preserve">Enter the Lake Mead starting storage in </t>
    </r>
    <r>
      <rPr>
        <rFont val="Calibri"/>
        <b/>
        <color rgb="FF00B050"/>
        <sz val="11.0"/>
      </rPr>
      <t>Cell B19</t>
    </r>
    <r>
      <rPr>
        <rFont val="Calibri"/>
        <color theme="1"/>
        <sz val="11.0"/>
      </rPr>
      <t>. Find the current storage at https://www.usbr.gov/lc/region/g4000/hourly/mead-elv.html</t>
    </r>
  </si>
  <si>
    <t>Historical allocations</t>
  </si>
  <si>
    <t>0.3 to 1.5</t>
  </si>
  <si>
    <r>
      <rPr>
        <rFont val="Calibri"/>
        <color theme="1"/>
        <sz val="11.0"/>
      </rPr>
      <t xml:space="preserve">In </t>
    </r>
    <r>
      <rPr>
        <rFont val="Calibri"/>
        <b/>
        <color rgb="FF00B050"/>
        <sz val="11.0"/>
      </rPr>
      <t>Cell B20</t>
    </r>
    <r>
      <rPr>
        <rFont val="Calibri"/>
        <color theme="1"/>
        <sz val="11.0"/>
      </rPr>
      <t>, the Reclamation user sets the elevation for the protection zone - Lake Mead will never fall below this level.</t>
    </r>
  </si>
  <si>
    <t>[2]</t>
  </si>
  <si>
    <t xml:space="preserve">     Elevation (feet)</t>
  </si>
  <si>
    <r>
      <rPr>
        <rFont val="Calibri"/>
        <color theme="1"/>
        <sz val="11.0"/>
      </rPr>
      <t xml:space="preserve">In  Cell </t>
    </r>
    <r>
      <rPr>
        <rFont val="Calibri"/>
        <b/>
        <color rgb="FF00B050"/>
        <sz val="11.0"/>
      </rPr>
      <t>B21</t>
    </r>
    <r>
      <rPr>
        <rFont val="Calibri"/>
        <color theme="1"/>
        <sz val="11.0"/>
      </rPr>
      <t>, enter the total Water Conservation Account (Intentionally Created Surplus) Balance. This value includes California, Arizona, Nevada, and Mexico.</t>
    </r>
  </si>
  <si>
    <r>
      <rPr>
        <rFont val="Calibri"/>
        <color theme="1"/>
        <sz val="11.0"/>
      </rPr>
      <t>Enter the Lake Mead Inflow for Year 1 in</t>
    </r>
    <r>
      <rPr>
        <rFont val="Calibri"/>
        <b/>
        <color rgb="FF548135"/>
        <sz val="11.0"/>
      </rPr>
      <t xml:space="preserve"> </t>
    </r>
    <r>
      <rPr>
        <rFont val="Calibri"/>
        <b/>
        <color rgb="FF00B050"/>
        <sz val="11.0"/>
      </rPr>
      <t>Cell C28</t>
    </r>
    <r>
      <rPr>
        <rFont val="Calibri"/>
        <color theme="1"/>
        <sz val="11.0"/>
      </rPr>
      <t>. Cells below will populate.</t>
    </r>
  </si>
  <si>
    <r>
      <rPr>
        <rFont val="Calibri"/>
        <b/>
        <color rgb="FF0000FF"/>
        <sz val="11.0"/>
      </rPr>
      <t>Participant Dashboards</t>
    </r>
    <r>
      <rPr>
        <rFont val="Calibri"/>
        <color theme="1"/>
        <sz val="11.0"/>
      </rPr>
      <t xml:space="preserve"> and Rows with </t>
    </r>
    <r>
      <rPr>
        <rFont val="Calibri"/>
        <b/>
        <color rgb="FF0000FF"/>
        <sz val="11.0"/>
      </rPr>
      <t>Blue Text</t>
    </r>
    <r>
      <rPr>
        <rFont val="Calibri"/>
        <color theme="1"/>
        <sz val="11.0"/>
      </rPr>
      <t xml:space="preserve"> (Rows 62 to 121): Participants </t>
    </r>
    <r>
      <rPr>
        <rFont val="Calibri"/>
        <color theme="1"/>
        <sz val="11.0"/>
      </rPr>
      <t>enter their choices to withdraw, conserve, and trade water in response to their available water, others choices, and the real-time discussion by participants.</t>
    </r>
  </si>
  <si>
    <r>
      <rPr>
        <rFont val="Calibri"/>
        <color theme="1"/>
        <sz val="11.0"/>
      </rPr>
      <t xml:space="preserve">Move to </t>
    </r>
    <r>
      <rPr>
        <rFont val="Calibri"/>
        <b/>
        <color theme="1"/>
        <sz val="11.0"/>
      </rPr>
      <t>Year 2</t>
    </r>
    <r>
      <rPr>
        <rFont val="Calibri"/>
        <color theme="1"/>
        <sz val="11.0"/>
      </rPr>
      <t xml:space="preserve"> (</t>
    </r>
    <r>
      <rPr>
        <rFont val="Calibri"/>
        <color rgb="FF00B050"/>
        <sz val="11.0"/>
      </rPr>
      <t>Column D</t>
    </r>
    <r>
      <rPr>
        <rFont val="Calibri"/>
        <color theme="1"/>
        <sz val="11.0"/>
      </rPr>
      <t xml:space="preserve">). Enter Lake Powell natural flow in </t>
    </r>
    <r>
      <rPr>
        <rFont val="Calibri"/>
        <b/>
        <color rgb="FF00B050"/>
        <sz val="11.0"/>
      </rPr>
      <t>Cell D28</t>
    </r>
    <r>
      <rPr>
        <rFont val="Calibri"/>
        <color theme="1"/>
        <sz val="11.0"/>
      </rPr>
      <t>.</t>
    </r>
  </si>
  <si>
    <t>3. Split storage (Year 1 only; Current ICS Account Balances).</t>
  </si>
  <si>
    <t>Additional Information and Help</t>
  </si>
  <si>
    <t>As Volume (maf per year)</t>
  </si>
  <si>
    <t>A.</t>
  </si>
  <si>
    <t>Help split reservoir storage</t>
  </si>
  <si>
    <t>[3]</t>
  </si>
  <si>
    <r>
      <rPr>
        <rFont val="Calibri"/>
        <color theme="1"/>
        <sz val="11.0"/>
      </rPr>
      <t xml:space="preserve">Find linked help for each row in </t>
    </r>
    <r>
      <rPr>
        <rFont val="Calibri"/>
        <b/>
        <color theme="7"/>
        <sz val="11.0"/>
      </rPr>
      <t>Column N</t>
    </r>
    <r>
      <rPr>
        <rFont val="Calibri"/>
        <color theme="1"/>
        <sz val="11.0"/>
      </rPr>
      <t>.</t>
    </r>
  </si>
  <si>
    <t>B.</t>
  </si>
  <si>
    <r>
      <rPr>
        <rFont val="Calibri"/>
        <color theme="1"/>
        <sz val="11.0"/>
      </rPr>
      <t xml:space="preserve">View the </t>
    </r>
    <r>
      <rPr>
        <rFont val="Calibri"/>
        <b/>
        <color theme="1"/>
        <sz val="11.0"/>
      </rPr>
      <t>Master-Plots</t>
    </r>
    <r>
      <rPr>
        <rFont val="Calibri"/>
        <color theme="1"/>
        <sz val="11.0"/>
      </rPr>
      <t xml:space="preserve"> worksheet to compare entries to current operations (Law of the River). Current operations are calculated on the Master-LawOfRiver Worksheet. [[This feature is not yet enabled]]</t>
    </r>
  </si>
  <si>
    <t>LETS START (visual directions as pdf)</t>
  </si>
  <si>
    <t>MODEL GUIDE (Help)</t>
  </si>
  <si>
    <t>[4]</t>
  </si>
  <si>
    <t>WORKSHEET DESCRIPTIONS</t>
  </si>
  <si>
    <t>Master</t>
  </si>
  <si>
    <t>Blank template. Duplicate this worksheet before using. See directions above for use.</t>
  </si>
  <si>
    <t>Versions</t>
  </si>
  <si>
    <t>Consult to find a concise description of changes made over time.</t>
  </si>
  <si>
    <t>Make a copy before use. Use to play. This worksheet allows comparison to current (Law of River) operations. See Today-Plots. [[Feature not yet enabled]]</t>
  </si>
  <si>
    <t>DivideInflow</t>
  </si>
  <si>
    <t>Defines percentage splits of Lake Mead Inflow based on percentage splits of shortages presented in the Lower Basin Alternative (2024).</t>
  </si>
  <si>
    <t>TribalWater</t>
  </si>
  <si>
    <t>Shows settled water rights and current consumptive uses of Tribal Nations of the Lower Basin.</t>
  </si>
  <si>
    <t>Master-Plots</t>
  </si>
  <si>
    <t>Plots of Lower and Upper Basin consuptive use, account balance, and combined balance for the Master and Master-LawOfRiver worksheets</t>
  </si>
  <si>
    <t>SplitInflowPlot</t>
  </si>
  <si>
    <t>Plot that shows inflow assignment to each account based on basin natural flow. Data on SplitInflow worksheet. See more accurate plot in R.</t>
  </si>
  <si>
    <t>MandatoryConservation</t>
  </si>
  <si>
    <t>Lookup table of Lower Basin and Mexico mandatory cuts versus Lake Mead elevation (for reference; not
used in the Lake Mead Water Bank)</t>
  </si>
  <si>
    <t>Lake Mead Inflow Scenarios</t>
  </si>
  <si>
    <t>Extreme low inflow Lake Mead Scenarios. Lowest three year sequences from HydrologicScenarios (Salehabadi)</t>
  </si>
  <si>
    <t>[5]</t>
  </si>
  <si>
    <t>Mead-Elevation-Area</t>
  </si>
  <si>
    <t>The Lake Mead storage volume-elevation-area curve data downloaded from CRSS.</t>
  </si>
  <si>
    <t>CellType</t>
  </si>
  <si>
    <t>More detailed explanation of the model cell types (different fill colors)</t>
  </si>
  <si>
    <t>Author Contact Information</t>
  </si>
  <si>
    <t>David E. Rosenberg</t>
  </si>
  <si>
    <t>Utah State University</t>
  </si>
  <si>
    <t>david.rosenberg@usu.edu, 435-797-8689</t>
  </si>
  <si>
    <t>Chosen for model Calculations. California has a higher priority.</t>
  </si>
  <si>
    <t>http://rosenberg.usu.edu</t>
  </si>
  <si>
    <t>[6]</t>
  </si>
  <si>
    <t>Anabelle Myers</t>
  </si>
  <si>
    <t>A02369941@aggies.usu.edu</t>
  </si>
  <si>
    <t>Eric Porse</t>
  </si>
  <si>
    <t>University of California Agricultural and Natural Resources</t>
  </si>
  <si>
    <t>eporse@ucanr.edu</t>
  </si>
  <si>
    <t>Model Repository</t>
  </si>
  <si>
    <t>https://github.com/dzeke/ColoradoRiverCollaborate/tree/main/LakeMeadWaterBankDivideInflow</t>
  </si>
  <si>
    <t>[7]</t>
  </si>
  <si>
    <t>Beginning of year reservoir storage</t>
  </si>
  <si>
    <t>Help begin of year storage</t>
  </si>
  <si>
    <t>Requested Citation</t>
  </si>
  <si>
    <t xml:space="preserve">    Powell</t>
  </si>
  <si>
    <t>David E. Rosenberg, Anabelle Myers, Hadia Akbar, Erik Porse (2025). "Immersive Model for Lake Mead Based on the Principle of Division of Reservoir Inflow." Utah State University, Logan, UT. https://github.com/dzeke/ColoradoRiverCollaborate/tree/main/LakeMeadWaterBankDivideInflow.</t>
  </si>
  <si>
    <t>[8]</t>
  </si>
  <si>
    <t xml:space="preserve">    Mead</t>
  </si>
  <si>
    <t>1.5 to 2.7</t>
  </si>
  <si>
    <t>To be determined</t>
  </si>
  <si>
    <t>Calculate Mead Evaporation</t>
  </si>
  <si>
    <t>[9]</t>
  </si>
  <si>
    <t>[10]</t>
  </si>
  <si>
    <t>Standardized</t>
  </si>
  <si>
    <t>Total Shortage (maf per year) [A]</t>
  </si>
  <si>
    <t>Lake Mead Inflow (maf per year) [B]</t>
  </si>
  <si>
    <t>Arizona [C]</t>
  </si>
  <si>
    <t>Nevada [D]</t>
  </si>
  <si>
    <t>California [E]</t>
  </si>
  <si>
    <t>Mexico [F]</t>
  </si>
  <si>
    <t>Arizona [H]</t>
  </si>
  <si>
    <t>Nevada [I]</t>
  </si>
  <si>
    <t>California [J]</t>
  </si>
  <si>
    <t>Mexico [K]</t>
  </si>
  <si>
    <t>Help calculate Mead evaporation</t>
  </si>
  <si>
    <t>If percentage shares of total shortages for 0.3 to 1.5 maf per year specified in Lower Basin Alternative (2024) continue to total shortages for 1.5 to 2.7 maf per year.</t>
  </si>
  <si>
    <t>4. Allocate Reservoir Inflow</t>
  </si>
  <si>
    <t>If percentage shares of total shortages for 0.3 to 1.5 maf per year specified in Lower Basin Alternative (2024) continue to total shortages for 8.0 maf per year.</t>
  </si>
  <si>
    <t>Help split reservoir inflow</t>
  </si>
  <si>
    <t>Share of Evap.</t>
  </si>
  <si>
    <t xml:space="preserve">    For Remaining Users</t>
  </si>
  <si>
    <t>Year Value</t>
  </si>
  <si>
    <t>5. PARTICIPANT DASHBOARDS -- TRADE, CONSERVE, and CONSUME</t>
  </si>
  <si>
    <t>Help player dashboards</t>
  </si>
  <si>
    <t>Starting Protection Elevation</t>
  </si>
  <si>
    <t xml:space="preserve">   Starting Available Water [maf]</t>
  </si>
  <si>
    <t>Help buy or sell water</t>
  </si>
  <si>
    <t>Help pricing</t>
  </si>
  <si>
    <t xml:space="preserve">   Compensation [Mill]</t>
  </si>
  <si>
    <t>Help compensation</t>
  </si>
  <si>
    <t>Help net trade</t>
  </si>
  <si>
    <t>This worksheet shows water for Tribal Nations of the Lower Basin  (Ten Tribes Partnership, 2018)</t>
  </si>
  <si>
    <t>Help available water</t>
  </si>
  <si>
    <t>Table 5.11-B. Lower Basin Decreed Water Rights and Unresolved Claims</t>
  </si>
  <si>
    <t>Tribal Nation</t>
  </si>
  <si>
    <t>Protection Elevation [ft] without withdrawals</t>
  </si>
  <si>
    <t>State</t>
  </si>
  <si>
    <t>Decreed Diversion (acre-feet)</t>
  </si>
  <si>
    <t>Unresolved Diversion Claim (acre-feet)</t>
  </si>
  <si>
    <t>Volume (acre-feet)</t>
  </si>
  <si>
    <t>Percent</t>
  </si>
  <si>
    <t>Fort Mojave Indian Tribe</t>
  </si>
  <si>
    <t>Chemehuevi Indian Tribe</t>
  </si>
  <si>
    <t>Colorado River Indian Tribes</t>
  </si>
  <si>
    <t>Help withdraw/consume</t>
  </si>
  <si>
    <t>Quechan Indian Tribe</t>
  </si>
  <si>
    <t>Cocopah Indian Tribe</t>
  </si>
  <si>
    <t>Table 5.11-D. Total Annual Current Tribal Water Use (acre-feet)</t>
  </si>
  <si>
    <t>Water Use Category</t>
  </si>
  <si>
    <t>Diversion</t>
  </si>
  <si>
    <t>Consumptive Use</t>
  </si>
  <si>
    <t>Irrigatedd Agriculture &amp; Livestock</t>
  </si>
  <si>
    <t>Domestic, Commercial, Industrial</t>
  </si>
  <si>
    <t>Help end of year balance</t>
  </si>
  <si>
    <t>Environmental, Cultural, Recreation</t>
  </si>
  <si>
    <t>Transfers, Leases, Exchanges</t>
  </si>
  <si>
    <r>
      <rPr>
        <rFont val="Calibri"/>
        <b/>
        <color theme="1"/>
        <sz val="11.0"/>
      </rPr>
      <t xml:space="preserve">This spreadsheet is used to calculate the split of Lake Powell Natural inflow for different inflow values. The data are visualized on the </t>
    </r>
    <r>
      <rPr>
        <rFont val="Calibri"/>
        <b/>
        <i/>
        <color theme="1"/>
        <sz val="11.0"/>
      </rPr>
      <t>SplitInflowPlot</t>
    </r>
    <r>
      <rPr>
        <rFont val="Calibri"/>
        <b/>
        <color theme="1"/>
        <sz val="11.0"/>
      </rPr>
      <t xml:space="preserve"> worksheet.</t>
    </r>
  </si>
  <si>
    <t>1. Assign the Parties, person playing, and each party's strategy in Cells A5 to C10.</t>
  </si>
  <si>
    <t>Party</t>
  </si>
  <si>
    <t>Strategy</t>
  </si>
  <si>
    <t>Help assign parties</t>
  </si>
  <si>
    <t>Mandatory Cutbacks according to 2007 Interim Guidelines, 2019 Drought Contingency Plan, and Minutes 319 and 323</t>
  </si>
  <si>
    <t>2007 Interim Guidelines</t>
  </si>
  <si>
    <t>2019 Drought Contingency Plan</t>
  </si>
  <si>
    <t>Combined</t>
  </si>
  <si>
    <t>Upper Basin</t>
  </si>
  <si>
    <t>Lower Basin</t>
  </si>
  <si>
    <t>Mead Elev (ft)</t>
  </si>
  <si>
    <t>Mead Vol (maf)</t>
  </si>
  <si>
    <t>Mead Vol offset (maf)</t>
  </si>
  <si>
    <t>AZ (taf/year)</t>
  </si>
  <si>
    <t>NV (taf/year)</t>
  </si>
  <si>
    <t>CA (taf/year)</t>
  </si>
  <si>
    <t>Lower Basin Cutback (maf/year)</t>
  </si>
  <si>
    <t>MX Cutback Minute 319 (taf/year)</t>
  </si>
  <si>
    <t>MX Cutback Minute 323 (taf/year)</t>
  </si>
  <si>
    <t>MX Cutback Total (maf/year)</t>
  </si>
  <si>
    <t>Total Cutback (maf/year)</t>
  </si>
  <si>
    <t>Colorado River Delta</t>
  </si>
  <si>
    <t>First Nations</t>
  </si>
  <si>
    <t>Shared, Reserve</t>
  </si>
  <si>
    <t>Individual party decision</t>
  </si>
  <si>
    <t>Joint party decision</t>
  </si>
  <si>
    <t>1B. Make reservoir assumptions</t>
  </si>
  <si>
    <t>Powell</t>
  </si>
  <si>
    <t>Mead</t>
  </si>
  <si>
    <t xml:space="preserve">   Evaporation rate (feet/year)</t>
  </si>
  <si>
    <t xml:space="preserve">   Start storage (million acre feet)</t>
  </si>
  <si>
    <t>9/1/2021 values</t>
  </si>
  <si>
    <t xml:space="preserve">   Protect elevation (feet)</t>
  </si>
  <si>
    <t xml:space="preserve">   Storage at protection elevation (maf)</t>
  </si>
  <si>
    <t>Help protect volume</t>
  </si>
  <si>
    <t xml:space="preserve">   Prior 9 year Lake Powell release (maf)</t>
  </si>
  <si>
    <t>Help 9-year prior Powell release</t>
  </si>
  <si>
    <t xml:space="preserve">   Prior 9-year Paria River flow (maf)</t>
  </si>
  <si>
    <t>Help 9-year Paria River flow</t>
  </si>
  <si>
    <t xml:space="preserve">   Delivery to meet 10-year requirement (maf)</t>
  </si>
  <si>
    <t>Help delivery to meet 10-year req.</t>
  </si>
  <si>
    <t xml:space="preserve">   Upper Basin pre-1922 water rights (maf)</t>
  </si>
  <si>
    <t>Help pre-1922 water rights</t>
  </si>
  <si>
    <t>Data from Wheeler et al (2021), Table 2.1</t>
  </si>
  <si>
    <t>2. Specify natural inflow to Lake Powell.</t>
  </si>
  <si>
    <t>Help Lake Powell natural inflow</t>
  </si>
  <si>
    <t>Reservoir Storage</t>
  </si>
  <si>
    <t xml:space="preserve">    Shared, Reserve storage</t>
  </si>
  <si>
    <t>Calculate Powell + Mead Evaporation</t>
  </si>
  <si>
    <t>Effect of water storage in Lake Powell on release temperatures and Grand Canyon Fish</t>
  </si>
  <si>
    <t>From Wheeler et al (2021), p.48, Sidebar #1. https://qcnr.usu.edu/coloradoriver/files/WhitePaper6.pdf</t>
  </si>
  <si>
    <t>Release through Turbines (elevation 3,490 feet).</t>
  </si>
  <si>
    <t>Summer Elevation (feet)</t>
  </si>
  <si>
    <t>Release Temperature (oC)</t>
  </si>
  <si>
    <t>Outlet</t>
  </si>
  <si>
    <t>Ecological interpretation</t>
  </si>
  <si>
    <t>Native fish phrase</t>
  </si>
  <si>
    <t>Tailwater trout phrase</t>
  </si>
  <si>
    <t>Storage Volume (MAF)</t>
  </si>
  <si>
    <t>&gt; 18</t>
  </si>
  <si>
    <t>River</t>
  </si>
  <si>
    <t>Highly uncertain</t>
  </si>
  <si>
    <t>Unsuitable</t>
  </si>
  <si>
    <t>Penstock</t>
  </si>
  <si>
    <t>Highest uncertainty for native fish. Also represent a substantial risk to the tailwater trout fishery, as sustained temperatures of 19oC or higher are unsuitable for trout.</t>
  </si>
  <si>
    <t>&lt; 18</t>
  </si>
  <si>
    <t>Outcomes are highly uncertain for native fish, as these temperatures have not been observed since the construction of the Glen Canyon Dam. Native fish may benefit, but they may also face invasion by warm water non-natives from Lake Mead.</t>
  </si>
  <si>
    <t>May benefit or face invasion</t>
  </si>
  <si>
    <t>Help grow + incubate</t>
  </si>
  <si>
    <t>&lt; 15</t>
  </si>
  <si>
    <t>Increased relative abundance of native fishes in  western Grand Canyon, but other factors also likely  contribute to these trends</t>
  </si>
  <si>
    <t>Increased relative abundance</t>
  </si>
  <si>
    <t>&lt; 12</t>
  </si>
  <si>
    <t>Important for many species’ growth, reproduction, and survival of early life stages. Temperatures below 12oC are within the range that have been observed in the past (Fig-ure 8.5), but these cold releases during the growing season have been associated with native fishes being predominantly pushed into tributary and downstream habitats.</t>
  </si>
  <si>
    <t>Help grow, reproduce, and survive</t>
  </si>
  <si>
    <t>Help all</t>
  </si>
  <si>
    <t xml:space="preserve">   Enter volume to Buy(+) or Sell(-) [maf]</t>
  </si>
  <si>
    <t>Help Powell + Mead evaporation</t>
  </si>
  <si>
    <t xml:space="preserve">   Enter price per acre-foot to Buy(-) or Sell(+)</t>
  </si>
  <si>
    <t>Calculate Mexico Water Allocation</t>
  </si>
  <si>
    <t>Help Mexico water allocation</t>
  </si>
  <si>
    <t>4. Split combined natural inflow among parties</t>
  </si>
  <si>
    <t>Help split combined natural inflow</t>
  </si>
  <si>
    <t>1922+Remain</t>
  </si>
  <si>
    <t>Row 38</t>
  </si>
  <si>
    <t>6. SUMMARY of PARTICIPANT ACTIONS</t>
  </si>
  <si>
    <t>Help summary player actions</t>
  </si>
  <si>
    <t>Purchases (+) and Sales (-) [in maf]</t>
  </si>
  <si>
    <t>Total (maf)</t>
  </si>
  <si>
    <t>Evap.</t>
  </si>
  <si>
    <t>Total basin inflow</t>
  </si>
  <si>
    <t>Sum Lower Basin amounts to check against Lake Powell Objective Release</t>
  </si>
  <si>
    <t>Pree 1922</t>
  </si>
  <si>
    <t>First Nations of Lower Basin</t>
  </si>
  <si>
    <t>Mexico Responsibility</t>
  </si>
  <si>
    <t>Remain</t>
  </si>
  <si>
    <t xml:space="preserve">    Net transactions (should be zero)</t>
  </si>
  <si>
    <t>Account Withdrawals [in maf]</t>
  </si>
  <si>
    <t>Account End-of-Year Balance (Available water - Account Withdrawals)</t>
  </si>
  <si>
    <t>Lake Mead End of Year</t>
  </si>
  <si>
    <t>Help Lake Mead end of year</t>
  </si>
  <si>
    <t>7. Move to next year (next Column). Goto Step 2. Specify Lake Mead Inflow for next year</t>
  </si>
  <si>
    <t>Help next year</t>
  </si>
  <si>
    <t>Expands on Table in the master worksheet</t>
  </si>
  <si>
    <t xml:space="preserve">Cell Type </t>
  </si>
  <si>
    <t>Explanation</t>
  </si>
  <si>
    <t>Flow and evaporation assumptions required by the model. Participants agree on this data and information.</t>
  </si>
  <si>
    <t>Individual  decision</t>
  </si>
  <si>
    <t>A participant's individual choices such as strategy, conservation, consumption, and purchaces from the account.</t>
  </si>
  <si>
    <t>Decisions participants make together such as the reservoir protection elevations, how to split existing storage and inflow among accounts, or how to split combined storage between Lake Powell and Lake Mead.</t>
  </si>
  <si>
    <t>Formula used to calculate cell such as reservoir evaporation or an account's available water.</t>
  </si>
  <si>
    <t>Colorado River Conservation Programs</t>
  </si>
  <si>
    <t>Program</t>
  </si>
  <si>
    <t>Years</t>
  </si>
  <si>
    <t>Volume (million acre-feet)</t>
  </si>
  <si>
    <t>Cost ($ per acre-foot)</t>
  </si>
  <si>
    <t>Compensation ($ million)</t>
  </si>
  <si>
    <t>Existing Programs</t>
  </si>
  <si>
    <t>System Conservation Pilot Programs</t>
  </si>
  <si>
    <t xml:space="preserve">    Lower Basin</t>
  </si>
  <si>
    <t>2015 to 2019</t>
  </si>
  <si>
    <t>$77 to $240</t>
  </si>
  <si>
    <t xml:space="preserve">    Upper Basin</t>
  </si>
  <si>
    <t>$150 to $611</t>
  </si>
  <si>
    <t>Scenarios of Extreme Lake Mead Inflow</t>
  </si>
  <si>
    <t>2015 to 2017</t>
  </si>
  <si>
    <t>$161 to $670</t>
  </si>
  <si>
    <r>
      <rPr>
        <rFont val="Aptos"/>
        <color theme="1"/>
        <sz val="12.0"/>
      </rPr>
      <t xml:space="preserve">The annual Lake Mead inflow magnitude has been determined by using data from the data sheet, </t>
    </r>
    <r>
      <rPr>
        <rFont val="Aptos"/>
        <i/>
        <color theme="1"/>
        <sz val="12.0"/>
      </rPr>
      <t xml:space="preserve">HydrologicScenarios </t>
    </r>
    <r>
      <rPr>
        <rFont val="Aptos"/>
        <color theme="1"/>
        <sz val="12.0"/>
      </rPr>
      <t>(Salehabadi 2023). 
All Ensembles and traces were used in determining Lake Mead’s inflow. Using code written in Python, three consecutive smallest values in each trace were found.</t>
    </r>
  </si>
  <si>
    <t>Lake Mead Water Conservation Accounts</t>
  </si>
  <si>
    <t>2007 to 2023</t>
  </si>
  <si>
    <t>None</t>
  </si>
  <si>
    <t>Ensemble</t>
  </si>
  <si>
    <t>Mandatory Conservation - Not ICS</t>
  </si>
  <si>
    <t>2019 to 2023</t>
  </si>
  <si>
    <t># of Traces</t>
  </si>
  <si>
    <t>Minimum Summation
of Ensemble</t>
  </si>
  <si>
    <t>Trace</t>
  </si>
  <si>
    <t>Comparison Options</t>
  </si>
  <si>
    <t>Position</t>
  </si>
  <si>
    <t xml:space="preserve">First </t>
  </si>
  <si>
    <t>Second</t>
  </si>
  <si>
    <t>Third</t>
  </si>
  <si>
    <t>Average</t>
  </si>
  <si>
    <t>CMIP5_LOCA</t>
  </si>
  <si>
    <t>Lower Basin agricultural value</t>
  </si>
  <si>
    <t>None yet</t>
  </si>
  <si>
    <t>$700 to $1,000</t>
  </si>
  <si>
    <t>Desalination at the Sea of Cortez</t>
  </si>
  <si>
    <t>Lake Mead Elevation-Volume-Area Relationship</t>
  </si>
  <si>
    <t>(USBR 2017, CRSS Model)</t>
  </si>
  <si>
    <t>Elevation (ft)</t>
  </si>
  <si>
    <t>Live Storage (ac-ft)</t>
  </si>
  <si>
    <t>Total Storage (ac-ft)</t>
  </si>
  <si>
    <t>Area (acres)</t>
  </si>
  <si>
    <t>500+ Plan - Lower Basin</t>
  </si>
  <si>
    <t>2021 to 2022</t>
  </si>
  <si>
    <t>RCP_85_100</t>
  </si>
  <si>
    <t>trace17</t>
  </si>
  <si>
    <t>AR1</t>
  </si>
  <si>
    <t>CMIP5_BCSD</t>
  </si>
  <si>
    <t>65</t>
  </si>
  <si>
    <t>Chosen</t>
  </si>
  <si>
    <t>CMIP3</t>
  </si>
  <si>
    <t>Trace55</t>
  </si>
  <si>
    <t>X</t>
  </si>
  <si>
    <t>Drought_Mid20th</t>
  </si>
  <si>
    <t>Trace33</t>
  </si>
  <si>
    <t>RCP85_065</t>
  </si>
  <si>
    <t>NPC_1988_2020</t>
  </si>
  <si>
    <t>Trace1</t>
  </si>
  <si>
    <t>Drought_Paleo</t>
  </si>
  <si>
    <t>Trace42</t>
  </si>
  <si>
    <t>RCP45_100</t>
  </si>
  <si>
    <t>Drought_Millennium</t>
  </si>
  <si>
    <t>Trace46</t>
  </si>
  <si>
    <t>NPC_1906_2020</t>
  </si>
  <si>
    <t>Trace18</t>
  </si>
  <si>
    <t>NPC_2000_2020</t>
  </si>
  <si>
    <t>Trace94</t>
  </si>
  <si>
    <t>ISM_TRM17SK</t>
  </si>
  <si>
    <t>TreeRingFlows</t>
  </si>
  <si>
    <t>RCP45_065</t>
  </si>
  <si>
    <t>RCP85_030</t>
  </si>
  <si>
    <t>RCP45_030</t>
  </si>
  <si>
    <t>trace18</t>
  </si>
  <si>
    <t>Mill_5YrBlockRes</t>
  </si>
  <si>
    <t>Trace27</t>
  </si>
  <si>
    <t>ISM_Full</t>
  </si>
  <si>
    <t>ISM_PluvialRemoved</t>
  </si>
  <si>
    <t>ISM_StressTest</t>
  </si>
  <si>
    <t>Chosen Protection Elevation</t>
  </si>
  <si>
    <t>DCP Trigger</t>
  </si>
  <si>
    <t>Min Power Pool</t>
  </si>
  <si>
    <t>Final EIS Buffer Line</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</si>
</sst>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0.0"/>
    <numFmt numFmtId="165" formatCode="0.0%"/>
    <numFmt numFmtId="166" formatCode="0."/>
    <numFmt numFmtId="167" formatCode="#,##0.0"/>
    <numFmt numFmtId="168" formatCode="0.000"/>
    <numFmt numFmtId="169" formatCode="&quot;$&quot;#,##0"/>
    <numFmt numFmtId="170" formatCode="_(* #,##0_);_(* \(#,##0\);_(* &quot;-&quot;??_);_(@_)"/>
    <numFmt numFmtId="171" formatCode="_(* #,##0.00_);_(* \(#,##0.00\);_(* &quot;-&quot;??_);_(@_)"/>
    <numFmt numFmtId="172" formatCode="_(* #,##0.0_);_(* \(#,##0.0\);_(* &quot;-&quot;??_);_(@_)"/>
    <numFmt numFmtId="173" formatCode="0.0000"/>
    <numFmt numFmtId="174" formatCode="&quot;$&quot;#,##0.00"/>
    <numFmt numFmtId="175" formatCode="_(&quot;$&quot;* #,##0_);_(&quot;$&quot;* \(#,##0\);_(&quot;$&quot;* &quot;-&quot;??_);_(@_)"/>
    <numFmt numFmtId="176" formatCode="&quot;$&quot;#,##0_);[Red]\(&quot;$&quot;#,##0\)"/>
  </numFmts>
  <fonts count="34">
    <font>
      <sz val="11.0"/>
      <color theme="1"/>
      <name val="Calibri"/>
      <scheme val="minor"/>
    </font>
    <font>
      <b/>
      <sz val="11.0"/>
      <color theme="1"/>
      <name val="Calibri"/>
    </font>
    <font>
      <b/>
      <sz val="12.0"/>
      <color rgb="FF0000FF"/>
      <name val="Calibri"/>
    </font>
    <font/>
    <font>
      <b/>
      <sz val="16.0"/>
      <color rgb="FF0000FF"/>
      <name val="Calibri"/>
    </font>
    <font>
      <sz val="11.0"/>
      <color theme="1"/>
      <name val="Calibri"/>
    </font>
    <font>
      <b/>
      <sz val="11.0"/>
      <color rgb="FF0000FF"/>
      <name val="Calibri"/>
    </font>
    <font>
      <b/>
      <sz val="11.0"/>
      <color rgb="FFFF0000"/>
      <name val="Calibri"/>
    </font>
    <font>
      <u/>
      <sz val="11.0"/>
      <color theme="10"/>
      <name val="Calibri"/>
    </font>
    <font>
      <b/>
      <sz val="11.0"/>
      <color theme="0"/>
      <name val="Calibri"/>
    </font>
    <font>
      <b/>
      <sz val="11.0"/>
      <color rgb="FFFA7D00"/>
      <name val="Calibri"/>
    </font>
    <font>
      <color theme="1"/>
      <name val="Calibri"/>
      <scheme val="minor"/>
    </font>
    <font>
      <u/>
      <sz val="11.0"/>
      <color theme="10"/>
      <name val="Calibri"/>
    </font>
    <font>
      <u/>
      <sz val="11.0"/>
      <color theme="10"/>
      <name val="Calibri"/>
    </font>
    <font>
      <b/>
      <sz val="11.0"/>
      <color theme="1"/>
      <name val="Times New Roman"/>
    </font>
    <font>
      <sz val="11.0"/>
      <color theme="0"/>
      <name val="Calibri"/>
    </font>
    <font>
      <sz val="11.0"/>
      <color theme="1"/>
      <name val="Times New Roman"/>
    </font>
    <font>
      <sz val="10.0"/>
      <color theme="1"/>
      <name val="Times New Roman"/>
    </font>
    <font>
      <u/>
      <sz val="11.0"/>
      <color theme="10"/>
      <name val="Calibri"/>
    </font>
    <font>
      <u/>
      <sz val="11.0"/>
      <color rgb="FF0563C1"/>
      <name val="Calibri"/>
    </font>
    <font>
      <u/>
      <sz val="11.0"/>
      <color theme="10"/>
      <name val="Calibri"/>
    </font>
    <font>
      <u/>
      <sz val="11.0"/>
      <color theme="10"/>
      <name val="Calibri"/>
    </font>
    <font>
      <u/>
      <sz val="11.0"/>
      <color theme="10"/>
      <name val="Calibri"/>
    </font>
    <font>
      <b/>
      <u/>
      <sz val="11.0"/>
      <color theme="10"/>
      <name val="Calibri"/>
    </font>
    <font>
      <sz val="11.0"/>
      <color rgb="FF0000FF"/>
      <name val="Calibri"/>
    </font>
    <font>
      <b/>
      <sz val="11.0"/>
      <color theme="5"/>
      <name val="Calibri"/>
    </font>
    <font>
      <u/>
      <sz val="11.0"/>
      <color theme="10"/>
      <name val="Calibri"/>
    </font>
    <font>
      <u/>
      <sz val="11.0"/>
      <color theme="10"/>
      <name val="Calibri"/>
    </font>
    <font>
      <sz val="13.0"/>
      <color theme="1"/>
      <name val="Times New Roman"/>
    </font>
    <font>
      <sz val="11.0"/>
      <color rgb="FF000000"/>
      <name val="Calibri"/>
    </font>
    <font>
      <b/>
      <u/>
      <sz val="11.0"/>
      <color theme="10"/>
      <name val="Calibri"/>
    </font>
    <font>
      <sz val="11.0"/>
      <color rgb="FFFA7D00"/>
      <name val="Calibri"/>
    </font>
    <font>
      <sz val="12.0"/>
      <color theme="1"/>
      <name val="Aptos"/>
    </font>
    <font>
      <b/>
      <sz val="11.0"/>
      <color rgb="FF000000"/>
      <name val="Calibri"/>
    </font>
  </fonts>
  <fills count="24">
    <fill>
      <patternFill patternType="none"/>
    </fill>
    <fill>
      <patternFill patternType="lightGray"/>
    </fill>
    <fill>
      <patternFill patternType="solid">
        <fgColor rgb="FFDEEAF6"/>
        <bgColor rgb="FFDEEAF6"/>
      </patternFill>
    </fill>
    <fill>
      <patternFill patternType="solid">
        <fgColor rgb="FFD9E2F3"/>
        <bgColor rgb="FFD9E2F3"/>
      </patternFill>
    </fill>
    <fill>
      <patternFill patternType="solid">
        <fgColor rgb="FFE2EFD9"/>
        <bgColor rgb="FFE2EFD9"/>
      </patternFill>
    </fill>
    <fill>
      <patternFill patternType="solid">
        <fgColor rgb="FFFFF2CB"/>
        <bgColor rgb="FFFFF2CB"/>
      </patternFill>
    </fill>
    <fill>
      <patternFill patternType="solid">
        <fgColor rgb="FFFFD965"/>
        <bgColor rgb="FFFFD965"/>
      </patternFill>
    </fill>
    <fill>
      <patternFill patternType="solid">
        <fgColor rgb="FFF7CAAC"/>
        <bgColor rgb="FFF7CAAC"/>
      </patternFill>
    </fill>
    <fill>
      <patternFill patternType="solid">
        <fgColor rgb="FFA8D08D"/>
        <bgColor rgb="FFA8D08D"/>
      </patternFill>
    </fill>
    <fill>
      <patternFill patternType="solid">
        <fgColor rgb="FFFBE4D5"/>
        <bgColor rgb="FFFBE4D5"/>
      </patternFill>
    </fill>
    <fill>
      <patternFill patternType="solid">
        <fgColor theme="5"/>
        <bgColor theme="5"/>
      </patternFill>
    </fill>
    <fill>
      <patternFill patternType="solid">
        <fgColor rgb="FFF2F2F2"/>
        <bgColor rgb="FFF2F2F2"/>
      </patternFill>
    </fill>
    <fill>
      <patternFill patternType="solid">
        <fgColor rgb="FFBDD6EE"/>
        <bgColor rgb="FFBDD6EE"/>
      </patternFill>
    </fill>
    <fill>
      <patternFill patternType="solid">
        <fgColor rgb="FFEAEDF1"/>
        <bgColor rgb="FFEAEDF1"/>
      </patternFill>
    </fill>
    <fill>
      <patternFill patternType="solid">
        <fgColor rgb="FFDADADA"/>
        <bgColor rgb="FFDADADA"/>
      </patternFill>
    </fill>
    <fill>
      <patternFill patternType="solid">
        <fgColor rgb="FFF1ECFF"/>
        <bgColor rgb="FFF1ECFF"/>
      </patternFill>
    </fill>
    <fill>
      <patternFill patternType="solid">
        <fgColor theme="4"/>
        <bgColor theme="4"/>
      </patternFill>
    </fill>
    <fill>
      <patternFill patternType="solid">
        <fgColor rgb="FFB4C6E7"/>
        <bgColor rgb="FFB4C6E7"/>
      </patternFill>
    </fill>
    <fill>
      <patternFill patternType="solid">
        <fgColor rgb="FF8EAADB"/>
        <bgColor rgb="FF8EAADB"/>
      </patternFill>
    </fill>
    <fill>
      <patternFill patternType="solid">
        <fgColor rgb="FFFF0000"/>
        <bgColor rgb="FFFF0000"/>
      </patternFill>
    </fill>
    <fill>
      <patternFill patternType="solid">
        <fgColor rgb="FFFFC7CE"/>
        <bgColor rgb="FFFFC7CE"/>
      </patternFill>
    </fill>
    <fill>
      <patternFill patternType="solid">
        <fgColor rgb="FFFFC5C5"/>
        <bgColor rgb="FFFFC5C5"/>
      </patternFill>
    </fill>
    <fill>
      <patternFill patternType="solid">
        <fgColor rgb="FF9CC2E5"/>
        <bgColor rgb="FF9CC2E5"/>
      </patternFill>
    </fill>
    <fill>
      <patternFill patternType="solid">
        <fgColor rgb="FFC5E0B3"/>
        <bgColor rgb="FFC5E0B3"/>
      </patternFill>
    </fill>
  </fills>
  <borders count="54">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right/>
      <top style="thin">
        <color rgb="FF000000"/>
      </top>
      <bottom/>
    </border>
    <border>
      <left/>
      <right/>
      <top style="thin">
        <color rgb="FF000000"/>
      </top>
      <bottom/>
    </border>
    <border>
      <left/>
      <right/>
      <top/>
      <bottom/>
    </border>
    <border>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border>
    <border>
      <right style="thin">
        <color rgb="FF000000"/>
      </right>
      <top/>
      <bottom/>
    </border>
    <border>
      <left style="thin">
        <color rgb="FF000000"/>
      </left>
      <right/>
      <top/>
      <bottom/>
    </border>
    <border>
      <left style="thin">
        <color rgb="FF000000"/>
      </left>
      <right/>
      <top/>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7F7F7F"/>
      </left>
      <right style="thin">
        <color rgb="FF7F7F7F"/>
      </right>
      <top style="thin">
        <color rgb="FF7F7F7F"/>
      </top>
      <bottom style="thin">
        <color rgb="FF7F7F7F"/>
      </bottom>
    </border>
    <border>
      <left style="thin">
        <color rgb="FF000000"/>
      </left>
      <top/>
      <bottom style="thin">
        <color rgb="FF000000"/>
      </bottom>
    </border>
    <border>
      <right/>
      <top/>
      <bottom style="thin">
        <color rgb="FF000000"/>
      </bottom>
    </border>
    <border>
      <left/>
      <right/>
      <top/>
      <bottom style="thin">
        <color rgb="FF000000"/>
      </bottom>
    </border>
    <border>
      <left/>
      <right style="thin">
        <color rgb="FF000000"/>
      </right>
      <top/>
      <bottom style="thin">
        <color rgb="FF000000"/>
      </bottom>
    </border>
    <border>
      <left style="thin">
        <color rgb="FF7B7B7B"/>
      </left>
      <right/>
      <top style="thin">
        <color rgb="FF7F7F7F"/>
      </top>
      <bottom style="thin">
        <color rgb="FF7F7F7F"/>
      </bottom>
    </border>
    <border>
      <left style="thin">
        <color rgb="FF7B7B7B"/>
      </left>
    </border>
    <border>
      <left style="thin">
        <color rgb="FF7F7F7F"/>
      </left>
      <right style="thin">
        <color rgb="FF7F7F7F"/>
      </right>
      <top/>
      <bottom style="thin">
        <color rgb="FF7F7F7F"/>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style="thin">
        <color rgb="FF7F7F7F"/>
      </right>
      <top style="thin">
        <color rgb="FF7F7F7F"/>
      </top>
      <bottom style="thin">
        <color rgb="FF7F7F7F"/>
      </bottom>
    </border>
    <border>
      <left style="thin">
        <color rgb="FF000000"/>
      </left>
    </border>
    <border>
      <left/>
      <right style="thin">
        <color rgb="FF7F7F7F"/>
      </right>
      <top style="thin">
        <color rgb="FF7F7F7F"/>
      </top>
      <bottom/>
    </border>
    <border>
      <left/>
      <right style="thin">
        <color rgb="FF7F7F7F"/>
      </right>
      <top/>
      <bottom style="thin">
        <color rgb="FF7F7F7F"/>
      </bottom>
    </border>
    <border>
      <left style="thin">
        <color rgb="FF7F7F7F"/>
      </left>
      <right/>
      <top style="thin">
        <color rgb="FF7F7F7F"/>
      </top>
      <bottom style="thin">
        <color rgb="FF7F7F7F"/>
      </bottom>
    </border>
    <border>
      <left style="thin">
        <color rgb="FF7F7F7F"/>
      </left>
      <right style="thin">
        <color rgb="FF7F7F7F"/>
      </right>
      <top style="thin">
        <color rgb="FF7F7F7F"/>
      </top>
      <bottom style="thin">
        <color rgb="FFAEABAB"/>
      </bottom>
    </border>
    <border>
      <left style="thin">
        <color rgb="FF7F7F7F"/>
      </left>
      <right style="thin">
        <color rgb="FF7F7F7F"/>
      </right>
      <top style="thin">
        <color rgb="FFAEABAB"/>
      </top>
      <bottom style="thin">
        <color rgb="FF7F7F7F"/>
      </bottom>
    </border>
    <border>
      <left style="thin">
        <color rgb="FF000000"/>
      </left>
      <right style="thin">
        <color rgb="FF000000"/>
      </right>
    </border>
    <border>
      <left/>
      <right style="thin">
        <color rgb="FF7F7F7F"/>
      </right>
      <top style="thin">
        <color rgb="FF7F7F7F"/>
      </top>
      <bottom style="thin">
        <color rgb="FFAEAAAA"/>
      </bottom>
    </border>
    <border>
      <left/>
      <right style="thin">
        <color rgb="FF7F7F7F"/>
      </right>
      <top style="thin">
        <color rgb="FFAEAAAA"/>
      </top>
      <bottom style="thin">
        <color rgb="FF7F7F7F"/>
      </bottom>
    </border>
    <border>
      <left style="medium">
        <color rgb="FF000000"/>
      </left>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border>
    <border>
      <right style="medium">
        <color rgb="FF000000"/>
      </right>
    </border>
    <border>
      <left style="medium">
        <color rgb="FF000000"/>
      </left>
      <right style="thin">
        <color rgb="FF000000"/>
      </right>
      <top/>
      <bottom/>
    </border>
    <border>
      <left style="medium">
        <color rgb="FF000000"/>
      </left>
      <right style="thin">
        <color rgb="FF000000"/>
      </right>
      <top/>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40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49" xfId="0" applyAlignment="1" applyBorder="1" applyFill="1" applyFont="1" applyNumberFormat="1">
      <alignment horizontal="center" shrinkToFit="0" vertical="center" wrapText="1"/>
    </xf>
    <xf borderId="1" fillId="2" fontId="1" numFmtId="0" xfId="0" applyAlignment="1" applyBorder="1" applyFill="1" applyFont="1">
      <alignment shrinkToFit="0" vertical="center" wrapText="1"/>
    </xf>
    <xf borderId="2" fillId="3" fontId="2" numFmtId="0" xfId="0" applyAlignment="1" applyBorder="1" applyFill="1" applyFont="1">
      <alignment horizontal="center"/>
    </xf>
    <xf borderId="3" fillId="0" fontId="3" numFmtId="0" xfId="0" applyBorder="1" applyFont="1"/>
    <xf borderId="0" fillId="0" fontId="4" numFmtId="0" xfId="0" applyAlignment="1" applyFont="1">
      <alignment horizontal="center"/>
    </xf>
    <xf borderId="0" fillId="0" fontId="1" numFmtId="0" xfId="0" applyAlignment="1" applyFont="1">
      <alignment shrinkToFit="0" wrapText="1"/>
    </xf>
    <xf borderId="0" fillId="0" fontId="5" numFmtId="0" xfId="0" applyAlignment="1" applyFont="1">
      <alignment horizontal="center"/>
    </xf>
    <xf borderId="4" fillId="0" fontId="3" numFmtId="0" xfId="0" applyBorder="1" applyFont="1"/>
    <xf borderId="1" fillId="4" fontId="1" numFmtId="0" xfId="0" applyAlignment="1" applyBorder="1" applyFill="1" applyFont="1">
      <alignment shrinkToFit="0" vertical="top" wrapText="1"/>
    </xf>
    <xf borderId="0" fillId="0" fontId="1" numFmtId="0" xfId="0" applyFont="1"/>
    <xf borderId="1" fillId="4" fontId="1" numFmtId="0" xfId="0" applyAlignment="1" applyBorder="1" applyFill="1" applyFont="1">
      <alignment horizontal="center" shrinkToFit="0" vertical="top" wrapText="1"/>
    </xf>
    <xf borderId="5" fillId="5" fontId="1" numFmtId="0" xfId="0" applyBorder="1" applyFill="1" applyFont="1"/>
    <xf borderId="6" fillId="5" fontId="1" numFmtId="0" xfId="0" applyBorder="1" applyFill="1" applyFont="1"/>
    <xf borderId="0" fillId="0" fontId="6" numFmtId="0" xfId="0" applyAlignment="1" applyFont="1">
      <alignment horizontal="left" shrinkToFit="0" wrapText="1"/>
    </xf>
    <xf borderId="6" fillId="5" fontId="5" numFmtId="0" xfId="0" applyAlignment="1" applyBorder="1" applyFill="1" applyFont="1">
      <alignment horizontal="center"/>
    </xf>
    <xf borderId="1" fillId="0" fontId="5" numFmtId="14" xfId="0" applyAlignment="1" applyBorder="1" applyFont="1" applyNumberFormat="1">
      <alignment horizontal="center" shrinkToFit="0" vertical="center" wrapText="1"/>
    </xf>
    <xf borderId="0" fillId="0" fontId="1" numFmtId="0" xfId="0" applyAlignment="1" applyFont="1">
      <alignment horizontal="left" shrinkToFit="0" wrapText="1"/>
    </xf>
    <xf borderId="6" fillId="5" fontId="5" numFmtId="0" xfId="0" applyBorder="1" applyFill="1" applyFont="1"/>
    <xf borderId="1" fillId="0" fontId="5" numFmtId="49" xfId="0" applyAlignment="1" applyBorder="1" applyFont="1" applyNumberFormat="1">
      <alignment horizontal="center" shrinkToFit="0" vertical="center" wrapText="1"/>
    </xf>
    <xf borderId="1" fillId="0" fontId="5" numFmtId="0" xfId="0" applyAlignment="1" applyBorder="1" applyFont="1">
      <alignment shrinkToFit="0" vertical="center" wrapText="1"/>
    </xf>
    <xf borderId="7" fillId="6" fontId="7" numFmtId="0" xfId="0" applyAlignment="1" applyBorder="1" applyFill="1" applyFont="1">
      <alignment horizontal="center" shrinkToFit="0" wrapText="1"/>
    </xf>
    <xf borderId="1" fillId="0" fontId="5" numFmtId="0" xfId="0" applyAlignment="1" applyBorder="1" applyFont="1">
      <alignment horizontal="center" shrinkToFit="0" vertical="center" wrapText="1"/>
    </xf>
    <xf borderId="8" fillId="5" fontId="5" numFmtId="0" xfId="0" applyBorder="1" applyFill="1" applyFont="1"/>
    <xf borderId="1" fillId="2" fontId="1" numFmtId="0" xfId="0" applyAlignment="1" applyBorder="1" applyFill="1" applyFont="1">
      <alignment horizontal="center"/>
    </xf>
    <xf borderId="1" fillId="0" fontId="5" numFmtId="0" xfId="0" applyAlignment="1" applyBorder="1" applyFont="1">
      <alignment shrinkToFit="0" vertical="top" wrapText="1"/>
    </xf>
    <xf borderId="1" fillId="0" fontId="5" numFmtId="14" xfId="0" applyAlignment="1" applyBorder="1" applyFont="1" applyNumberFormat="1">
      <alignment horizontal="center" vertical="top"/>
    </xf>
    <xf borderId="9" fillId="2" fontId="1" numFmtId="0" xfId="0" applyAlignment="1" applyBorder="1" applyFill="1" applyFont="1">
      <alignment horizontal="center"/>
    </xf>
    <xf borderId="10" fillId="0" fontId="3" numFmtId="0" xfId="0" applyBorder="1" applyFont="1"/>
    <xf borderId="1" fillId="0" fontId="5" numFmtId="0" xfId="0" applyAlignment="1" applyBorder="1" applyFont="1">
      <alignment horizontal="center" vertical="top"/>
    </xf>
    <xf borderId="11" fillId="0" fontId="3" numFmtId="0" xfId="0" applyBorder="1" applyFont="1"/>
    <xf borderId="12" fillId="5" fontId="5" numFmtId="0" xfId="0" applyAlignment="1" applyBorder="1" applyFill="1" applyFont="1">
      <alignment horizontal="left" shrinkToFit="0" vertical="top" wrapText="1"/>
    </xf>
    <xf borderId="13" fillId="0" fontId="3" numFmtId="0" xfId="0" applyBorder="1" applyFont="1"/>
    <xf borderId="1" fillId="0" fontId="5" numFmtId="0" xfId="0" applyAlignment="1" applyBorder="1" applyFont="1">
      <alignment horizontal="center" shrinkToFit="0" vertical="top" wrapText="1"/>
    </xf>
    <xf borderId="14" fillId="0" fontId="3" numFmtId="0" xfId="0" applyBorder="1" applyFont="1"/>
    <xf borderId="0" fillId="0" fontId="5" numFmtId="0" xfId="0" applyAlignment="1" applyFont="1">
      <alignment shrinkToFit="0" vertical="top" wrapText="1"/>
    </xf>
    <xf borderId="0" fillId="0" fontId="5" numFmtId="0" xfId="0" applyAlignment="1" applyFont="1">
      <alignment horizontal="left" shrinkToFit="0" vertical="top" wrapText="1"/>
    </xf>
    <xf borderId="7" fillId="5" fontId="8" numFmtId="0" xfId="0" applyAlignment="1" applyBorder="1" applyFill="1" applyFont="1">
      <alignment horizontal="center" vertical="top"/>
    </xf>
    <xf borderId="1" fillId="7" fontId="5" numFmtId="0" xfId="0" applyAlignment="1" applyBorder="1" applyFill="1" applyFont="1">
      <alignment horizontal="center"/>
    </xf>
    <xf borderId="1" fillId="7" fontId="5" numFmtId="0" xfId="0" applyAlignment="1" applyBorder="1" applyFill="1" applyFont="1">
      <alignment horizontal="center" readingOrder="0"/>
    </xf>
    <xf borderId="9" fillId="7" fontId="5" numFmtId="0" xfId="0" applyAlignment="1" applyBorder="1" applyFill="1" applyFont="1">
      <alignment horizontal="left" readingOrder="0"/>
    </xf>
    <xf borderId="0" fillId="0" fontId="5" numFmtId="0" xfId="0" applyAlignment="1" applyFont="1">
      <alignment horizontal="center" vertical="top"/>
    </xf>
    <xf borderId="9" fillId="7" fontId="5" numFmtId="0" xfId="0" applyAlignment="1" applyBorder="1" applyFill="1" applyFont="1">
      <alignment horizontal="left" readingOrder="0" shrinkToFit="0" wrapText="1"/>
    </xf>
    <xf borderId="7" fillId="5" fontId="5" numFmtId="0" xfId="0" applyAlignment="1" applyBorder="1" applyFill="1" applyFont="1">
      <alignment horizontal="center" vertical="top"/>
    </xf>
    <xf borderId="15" fillId="5" fontId="5" numFmtId="0" xfId="0" applyAlignment="1" applyBorder="1" applyFill="1" applyFont="1">
      <alignment horizontal="left" shrinkToFit="0" vertical="top" wrapText="1"/>
    </xf>
    <xf borderId="16" fillId="0" fontId="3" numFmtId="0" xfId="0" applyBorder="1" applyFont="1"/>
    <xf borderId="17" fillId="5" fontId="5" numFmtId="0" xfId="0" applyAlignment="1" applyBorder="1" applyFill="1" applyFont="1">
      <alignment horizontal="left" shrinkToFit="0" vertical="top" wrapText="1"/>
    </xf>
    <xf borderId="0" fillId="0" fontId="5" numFmtId="0" xfId="0" applyAlignment="1" applyFont="1">
      <alignment horizontal="right"/>
    </xf>
    <xf borderId="2" fillId="5" fontId="5" numFmtId="0" xfId="0" applyAlignment="1" applyBorder="1" applyFill="1" applyFont="1">
      <alignment horizontal="left" shrinkToFit="0" vertical="top" wrapText="1"/>
    </xf>
    <xf borderId="0" fillId="0" fontId="1" numFmtId="0" xfId="0" applyAlignment="1" applyFont="1">
      <alignment horizontal="left"/>
    </xf>
    <xf borderId="9" fillId="8" fontId="5" numFmtId="0" xfId="0" applyAlignment="1" applyBorder="1" applyFill="1" applyFont="1">
      <alignment horizontal="center"/>
    </xf>
    <xf borderId="18" fillId="5" fontId="5" numFmtId="0" xfId="0" applyAlignment="1" applyBorder="1" applyFill="1" applyFont="1">
      <alignment horizontal="left" shrinkToFit="0" vertical="top" wrapText="1"/>
    </xf>
    <xf borderId="19" fillId="5" fontId="5" numFmtId="0" xfId="0" applyAlignment="1" applyBorder="1" applyFill="1" applyFont="1">
      <alignment horizontal="left" shrinkToFit="0" vertical="top" wrapText="1"/>
    </xf>
    <xf borderId="20" fillId="0" fontId="3" numFmtId="0" xfId="0" applyBorder="1" applyFont="1"/>
    <xf borderId="21" fillId="0" fontId="3" numFmtId="0" xfId="0" applyBorder="1" applyFont="1"/>
    <xf borderId="0" fillId="0" fontId="5" numFmtId="0" xfId="0" applyAlignment="1" applyFont="1">
      <alignment vertical="top"/>
    </xf>
    <xf borderId="1" fillId="0" fontId="5" numFmtId="164" xfId="0" applyAlignment="1" applyBorder="1" applyFont="1" applyNumberFormat="1">
      <alignment horizontal="center" vertical="top"/>
    </xf>
    <xf borderId="12" fillId="9" fontId="1" numFmtId="0" xfId="0" applyAlignment="1" applyBorder="1" applyFill="1" applyFont="1">
      <alignment horizontal="left" shrinkToFit="0" vertical="top" wrapText="1"/>
    </xf>
    <xf borderId="9" fillId="7" fontId="1" numFmtId="0" xfId="0" applyAlignment="1" applyBorder="1" applyFill="1" applyFont="1">
      <alignment horizontal="center"/>
    </xf>
    <xf borderId="1" fillId="0" fontId="5" numFmtId="49" xfId="0" applyAlignment="1" applyBorder="1" applyFont="1" applyNumberFormat="1">
      <alignment horizontal="center" vertical="top"/>
    </xf>
    <xf borderId="17" fillId="9" fontId="1" numFmtId="0" xfId="0" applyAlignment="1" applyBorder="1" applyFill="1" applyFont="1">
      <alignment horizontal="left" shrinkToFit="0" vertical="top" wrapText="1"/>
    </xf>
    <xf borderId="7" fillId="9" fontId="1" numFmtId="0" xfId="0" applyAlignment="1" applyBorder="1" applyFill="1" applyFont="1">
      <alignment horizontal="left" shrinkToFit="0" vertical="top" wrapText="1"/>
    </xf>
    <xf borderId="9" fillId="10" fontId="9" numFmtId="0" xfId="0" applyAlignment="1" applyBorder="1" applyFill="1" applyFont="1">
      <alignment horizontal="center"/>
    </xf>
    <xf borderId="22" fillId="9" fontId="1" numFmtId="0" xfId="0" applyAlignment="1" applyBorder="1" applyFill="1" applyFont="1">
      <alignment horizontal="left" shrinkToFit="0" vertical="top" wrapText="1"/>
    </xf>
    <xf borderId="9" fillId="11" fontId="10" numFmtId="0" xfId="0" applyAlignment="1" applyBorder="1" applyFill="1" applyFont="1">
      <alignment horizontal="center"/>
    </xf>
    <xf borderId="2" fillId="9" fontId="1" numFmtId="0" xfId="0" applyAlignment="1" applyBorder="1" applyFill="1" applyFont="1">
      <alignment horizontal="left" shrinkToFit="0" wrapText="1"/>
    </xf>
    <xf borderId="1" fillId="0" fontId="1" numFmtId="0" xfId="0" applyAlignment="1" applyBorder="1" applyFont="1">
      <alignment horizontal="center" shrinkToFit="0" wrapText="1"/>
    </xf>
    <xf borderId="0" fillId="0" fontId="11" numFmtId="0" xfId="0" applyFont="1"/>
    <xf borderId="17" fillId="9" fontId="1" numFmtId="0" xfId="0" applyAlignment="1" applyBorder="1" applyFill="1" applyFont="1">
      <alignment horizontal="right" shrinkToFit="0" vertical="top" wrapText="1"/>
    </xf>
    <xf borderId="23" fillId="8" fontId="5" numFmtId="164" xfId="0" applyAlignment="1" applyBorder="1" applyFill="1" applyFont="1" applyNumberFormat="1">
      <alignment horizontal="center"/>
    </xf>
    <xf borderId="0" fillId="0" fontId="5" numFmtId="0" xfId="0" applyAlignment="1" applyFont="1">
      <alignment horizontal="left"/>
    </xf>
    <xf borderId="2" fillId="9" fontId="1" numFmtId="0" xfId="0" applyAlignment="1" applyBorder="1" applyFill="1" applyFont="1">
      <alignment horizontal="left" shrinkToFit="0" vertical="top" wrapText="1"/>
    </xf>
    <xf borderId="0" fillId="0" fontId="1" numFmtId="0" xfId="0" applyAlignment="1" applyFont="1">
      <alignment vertical="top"/>
    </xf>
    <xf borderId="1" fillId="8" fontId="5" numFmtId="3" xfId="0" applyAlignment="1" applyBorder="1" applyFill="1" applyFont="1" applyNumberFormat="1">
      <alignment horizontal="center"/>
    </xf>
    <xf borderId="17" fillId="9" fontId="5" numFmtId="0" xfId="0" applyAlignment="1" applyBorder="1" applyFill="1" applyFont="1">
      <alignment horizontal="right" shrinkToFit="0" vertical="top" wrapText="1"/>
    </xf>
    <xf borderId="7" fillId="9" fontId="5" numFmtId="0" xfId="0" applyAlignment="1" applyBorder="1" applyFill="1" applyFont="1">
      <alignment horizontal="left" shrinkToFit="0" vertical="top" wrapText="1"/>
    </xf>
    <xf borderId="22" fillId="9" fontId="5" numFmtId="0" xfId="0" applyAlignment="1" applyBorder="1" applyFill="1" applyFont="1">
      <alignment horizontal="left" shrinkToFit="0" vertical="top" wrapText="1"/>
    </xf>
    <xf borderId="24" fillId="11" fontId="10" numFmtId="2" xfId="0" applyAlignment="1" applyBorder="1" applyFill="1" applyFont="1" applyNumberFormat="1">
      <alignment horizontal="center"/>
    </xf>
    <xf borderId="2" fillId="9" fontId="5" numFmtId="0" xfId="0" applyAlignment="1" applyBorder="1" applyFill="1" applyFont="1">
      <alignment horizontal="left" shrinkToFit="0" vertical="top" wrapText="1"/>
    </xf>
    <xf borderId="0" fillId="0" fontId="5" numFmtId="14" xfId="0" applyFont="1" applyNumberFormat="1"/>
    <xf borderId="0" fillId="0" fontId="12" numFmtId="1" xfId="0" applyFont="1" applyNumberFormat="1"/>
    <xf borderId="25" fillId="9" fontId="1" numFmtId="0" xfId="0" applyAlignment="1" applyBorder="1" applyFill="1" applyFont="1">
      <alignment horizontal="left" shrinkToFit="0" vertical="top" wrapText="1"/>
    </xf>
    <xf borderId="26" fillId="0" fontId="3" numFmtId="0" xfId="0" applyBorder="1" applyFont="1"/>
    <xf borderId="0" fillId="0" fontId="6" numFmtId="0" xfId="0" applyFont="1"/>
    <xf borderId="1" fillId="7" fontId="5" numFmtId="3" xfId="0" applyAlignment="1" applyBorder="1" applyFill="1" applyFont="1" applyNumberFormat="1">
      <alignment horizontal="center" readingOrder="0"/>
    </xf>
    <xf borderId="27" fillId="9" fontId="13" numFmtId="0" xfId="0" applyAlignment="1" applyBorder="1" applyFill="1" applyFont="1">
      <alignment shrinkToFit="0" vertical="top" wrapText="1"/>
    </xf>
    <xf borderId="24" fillId="11" fontId="10" numFmtId="164" xfId="0" applyAlignment="1" applyBorder="1" applyFill="1" applyFont="1" applyNumberFormat="1">
      <alignment horizontal="center"/>
    </xf>
    <xf borderId="27" fillId="9" fontId="1" numFmtId="0" xfId="0" applyAlignment="1" applyBorder="1" applyFill="1" applyFont="1">
      <alignment shrinkToFit="0" vertical="top" wrapText="1"/>
    </xf>
    <xf borderId="0" fillId="0" fontId="5" numFmtId="17" xfId="0" applyFont="1" applyNumberFormat="1"/>
    <xf borderId="28" fillId="9" fontId="1" numFmtId="0" xfId="0" applyAlignment="1" applyBorder="1" applyFill="1" applyFont="1">
      <alignment shrinkToFit="0" vertical="top" wrapText="1"/>
    </xf>
    <xf borderId="0" fillId="0" fontId="5" numFmtId="2" xfId="0" applyFont="1" applyNumberFormat="1"/>
    <xf borderId="0" fillId="0" fontId="5" numFmtId="164" xfId="0" applyFont="1" applyNumberFormat="1"/>
    <xf borderId="12" fillId="4" fontId="1" numFmtId="0" xfId="0" applyAlignment="1" applyBorder="1" applyFill="1" applyFont="1">
      <alignment horizontal="left" shrinkToFit="0" vertical="top" wrapText="1"/>
    </xf>
    <xf borderId="29" fillId="8" fontId="5" numFmtId="164" xfId="0" applyAlignment="1" applyBorder="1" applyFill="1" applyFont="1" applyNumberFormat="1">
      <alignment horizontal="center"/>
    </xf>
    <xf borderId="30" fillId="0" fontId="5" numFmtId="164" xfId="0" applyAlignment="1" applyBorder="1" applyFont="1" applyNumberFormat="1">
      <alignment horizontal="left"/>
    </xf>
    <xf borderId="15" fillId="4" fontId="1" numFmtId="0" xfId="0" applyAlignment="1" applyBorder="1" applyFill="1" applyFont="1">
      <alignment horizontal="left" shrinkToFit="0" vertical="top" wrapText="1"/>
    </xf>
    <xf borderId="0" fillId="0" fontId="5" numFmtId="164" xfId="0" applyAlignment="1" applyFont="1" applyNumberFormat="1">
      <alignment horizontal="left"/>
    </xf>
    <xf borderId="15" fillId="4" fontId="5" numFmtId="0" xfId="0" applyAlignment="1" applyBorder="1" applyFill="1" applyFont="1">
      <alignment horizontal="left" shrinkToFit="0" vertical="top" wrapText="1"/>
    </xf>
    <xf borderId="1" fillId="2" fontId="14" numFmtId="0" xfId="0" applyAlignment="1" applyBorder="1" applyFill="1" applyFont="1">
      <alignment horizontal="center" shrinkToFit="0" vertical="center" wrapText="1"/>
    </xf>
    <xf borderId="1" fillId="10" fontId="15" numFmtId="9" xfId="0" applyAlignment="1" applyBorder="1" applyFill="1" applyFont="1" applyNumberFormat="1">
      <alignment horizontal="center"/>
    </xf>
    <xf borderId="9" fillId="9" fontId="14" numFmtId="0" xfId="0" applyAlignment="1" applyBorder="1" applyFill="1" applyFont="1">
      <alignment horizontal="center" vertical="center"/>
    </xf>
    <xf borderId="31" fillId="11" fontId="10" numFmtId="9" xfId="0" applyAlignment="1" applyBorder="1" applyFill="1" applyFont="1" applyNumberFormat="1">
      <alignment horizontal="center"/>
    </xf>
    <xf borderId="0" fillId="0" fontId="16" numFmtId="0" xfId="0" applyFont="1"/>
    <xf borderId="0" fillId="0" fontId="16" numFmtId="0" xfId="0" applyAlignment="1" applyFont="1">
      <alignment horizontal="left"/>
    </xf>
    <xf borderId="0" fillId="0" fontId="16" numFmtId="0" xfId="0" applyAlignment="1" applyFont="1">
      <alignment shrinkToFit="0" wrapText="1"/>
    </xf>
    <xf borderId="1" fillId="12" fontId="1" numFmtId="0" xfId="0" applyBorder="1" applyFill="1" applyFont="1"/>
    <xf borderId="9" fillId="5" fontId="14" numFmtId="0" xfId="0" applyAlignment="1" applyBorder="1" applyFill="1" applyFont="1">
      <alignment horizontal="center" shrinkToFit="0" vertical="center" wrapText="1"/>
    </xf>
    <xf borderId="25" fillId="4" fontId="5" numFmtId="0" xfId="0" applyAlignment="1" applyBorder="1" applyFill="1" applyFont="1">
      <alignment horizontal="left" shrinkToFit="0" vertical="top" wrapText="1"/>
    </xf>
    <xf borderId="1" fillId="12" fontId="1" numFmtId="0" xfId="0" applyAlignment="1" applyBorder="1" applyFill="1" applyFont="1">
      <alignment horizontal="center"/>
    </xf>
    <xf borderId="32" fillId="2" fontId="14" numFmtId="0" xfId="0" applyAlignment="1" applyBorder="1" applyFill="1" applyFont="1">
      <alignment horizontal="center" vertical="center"/>
    </xf>
    <xf borderId="32" fillId="2" fontId="14" numFmtId="0" xfId="0" applyAlignment="1" applyBorder="1" applyFill="1" applyFont="1">
      <alignment horizontal="center" shrinkToFit="0" vertical="center" wrapText="1"/>
    </xf>
    <xf borderId="1" fillId="6" fontId="7" numFmtId="0" xfId="0" applyAlignment="1" applyBorder="1" applyFill="1" applyFont="1">
      <alignment horizontal="center" vertical="top"/>
    </xf>
    <xf borderId="9" fillId="5" fontId="14" numFmtId="0" xfId="0" applyAlignment="1" applyBorder="1" applyFill="1" applyFont="1">
      <alignment horizontal="center" vertical="center"/>
    </xf>
    <xf borderId="12" fillId="13" fontId="1" numFmtId="0" xfId="0" applyAlignment="1" applyBorder="1" applyFill="1" applyFont="1">
      <alignment horizontal="left" shrinkToFit="0" vertical="top" wrapText="1"/>
    </xf>
    <xf borderId="9" fillId="4" fontId="14" numFmtId="0" xfId="0" applyAlignment="1" applyBorder="1" applyFill="1" applyFont="1">
      <alignment horizontal="center" vertical="center"/>
    </xf>
    <xf borderId="31" fillId="8" fontId="5" numFmtId="164" xfId="0" applyAlignment="1" applyBorder="1" applyFill="1" applyFont="1" applyNumberFormat="1">
      <alignment horizontal="center" readingOrder="0"/>
    </xf>
    <xf borderId="0" fillId="0" fontId="17" numFmtId="0" xfId="0" applyAlignment="1" applyFont="1">
      <alignment vertical="top"/>
    </xf>
    <xf borderId="31" fillId="8" fontId="5" numFmtId="164" xfId="0" applyAlignment="1" applyBorder="1" applyFill="1" applyFont="1" applyNumberFormat="1">
      <alignment horizontal="center"/>
    </xf>
    <xf borderId="0" fillId="0" fontId="17" numFmtId="0" xfId="0" applyAlignment="1" applyFont="1">
      <alignment horizontal="left" shrinkToFit="0" vertical="top" wrapText="1"/>
    </xf>
    <xf borderId="15" fillId="13" fontId="1" numFmtId="0" xfId="0" applyAlignment="1" applyBorder="1" applyFill="1" applyFont="1">
      <alignment horizontal="left" shrinkToFit="0" vertical="top" wrapText="1"/>
    </xf>
    <xf borderId="1" fillId="0" fontId="16" numFmtId="0" xfId="0" applyAlignment="1" applyBorder="1" applyFont="1">
      <alignment horizontal="center"/>
    </xf>
    <xf borderId="1" fillId="0" fontId="16" numFmtId="165" xfId="0" applyAlignment="1" applyBorder="1" applyFont="1" applyNumberFormat="1">
      <alignment horizontal="center"/>
    </xf>
    <xf borderId="17" fillId="13" fontId="5" numFmtId="166" xfId="0" applyAlignment="1" applyBorder="1" applyFill="1" applyFont="1" applyNumberFormat="1">
      <alignment shrinkToFit="0" vertical="top" wrapText="1"/>
    </xf>
    <xf borderId="24" fillId="8" fontId="5" numFmtId="164" xfId="0" applyAlignment="1" applyBorder="1" applyFill="1" applyFont="1" applyNumberFormat="1">
      <alignment horizontal="center"/>
    </xf>
    <xf borderId="2" fillId="13" fontId="5" numFmtId="0" xfId="0" applyAlignment="1" applyBorder="1" applyFill="1" applyFont="1">
      <alignment horizontal="left" shrinkToFit="0" vertical="top" wrapText="1"/>
    </xf>
    <xf borderId="33" fillId="0" fontId="3" numFmtId="0" xfId="0" applyBorder="1" applyFont="1"/>
    <xf borderId="1" fillId="5" fontId="14" numFmtId="0" xfId="0" applyAlignment="1" applyBorder="1" applyFill="1" applyFont="1">
      <alignment horizontal="center" shrinkToFit="0" vertical="center" wrapText="1"/>
    </xf>
    <xf borderId="1" fillId="5" fontId="14" numFmtId="0" xfId="0" applyAlignment="1" applyBorder="1" applyFill="1" applyFont="1">
      <alignment horizontal="center" vertical="center"/>
    </xf>
    <xf borderId="1" fillId="4" fontId="14" numFmtId="0" xfId="0" applyAlignment="1" applyBorder="1" applyFill="1" applyFont="1">
      <alignment horizontal="center" shrinkToFit="0" vertical="center" wrapText="1"/>
    </xf>
    <xf borderId="0" fillId="0" fontId="18" numFmtId="0" xfId="0" applyAlignment="1" applyFont="1">
      <alignment vertical="top"/>
    </xf>
    <xf borderId="1" fillId="4" fontId="14" numFmtId="0" xfId="0" applyAlignment="1" applyBorder="1" applyFill="1" applyFont="1">
      <alignment horizontal="center" vertical="center"/>
    </xf>
    <xf borderId="0" fillId="0" fontId="17" numFmtId="0" xfId="0" applyAlignment="1" applyFont="1">
      <alignment horizontal="left" vertical="top"/>
    </xf>
    <xf borderId="0" fillId="0" fontId="16" numFmtId="2" xfId="0" applyAlignment="1" applyFont="1" applyNumberFormat="1">
      <alignment shrinkToFit="0" wrapText="1"/>
    </xf>
    <xf borderId="1" fillId="14" fontId="16" numFmtId="0" xfId="0" applyAlignment="1" applyBorder="1" applyFill="1" applyFont="1">
      <alignment horizontal="center" shrinkToFit="0" vertical="center" wrapText="1"/>
    </xf>
    <xf borderId="1" fillId="14" fontId="16" numFmtId="164" xfId="0" applyAlignment="1" applyBorder="1" applyFill="1" applyFont="1" applyNumberFormat="1">
      <alignment horizontal="center" vertical="center"/>
    </xf>
    <xf borderId="1" fillId="14" fontId="16" numFmtId="2" xfId="0" applyAlignment="1" applyBorder="1" applyFill="1" applyFont="1" applyNumberFormat="1">
      <alignment horizontal="center" vertical="center"/>
    </xf>
    <xf borderId="15" fillId="13" fontId="1" numFmtId="166" xfId="0" applyAlignment="1" applyBorder="1" applyFill="1" applyFont="1" applyNumberFormat="1">
      <alignment horizontal="left" shrinkToFit="0" vertical="top" wrapText="1"/>
    </xf>
    <xf borderId="1" fillId="14" fontId="16" numFmtId="165" xfId="0" applyAlignment="1" applyBorder="1" applyFill="1" applyFont="1" applyNumberFormat="1">
      <alignment horizontal="center" vertical="center"/>
    </xf>
    <xf borderId="2" fillId="13" fontId="5" numFmtId="0" xfId="0" applyAlignment="1" applyBorder="1" applyFill="1" applyFont="1">
      <alignment shrinkToFit="0" vertical="top" wrapText="1"/>
    </xf>
    <xf borderId="1" fillId="14" fontId="16" numFmtId="9" xfId="0" applyAlignment="1" applyBorder="1" applyFill="1" applyFont="1" applyNumberFormat="1">
      <alignment horizontal="center" vertical="center"/>
    </xf>
    <xf borderId="1" fillId="0" fontId="16" numFmtId="0" xfId="0" applyAlignment="1" applyBorder="1" applyFont="1">
      <alignment horizontal="center" vertical="center"/>
    </xf>
    <xf borderId="1" fillId="0" fontId="16" numFmtId="164" xfId="0" applyAlignment="1" applyBorder="1" applyFont="1" applyNumberFormat="1">
      <alignment horizontal="center" vertical="center"/>
    </xf>
    <xf borderId="1" fillId="0" fontId="16" numFmtId="2" xfId="0" applyAlignment="1" applyBorder="1" applyFont="1" applyNumberFormat="1">
      <alignment horizontal="center" vertical="center"/>
    </xf>
    <xf borderId="24" fillId="11" fontId="10" numFmtId="167" xfId="0" applyAlignment="1" applyBorder="1" applyFill="1" applyFont="1" applyNumberFormat="1">
      <alignment horizontal="center"/>
    </xf>
    <xf borderId="1" fillId="0" fontId="16" numFmtId="165" xfId="0" applyAlignment="1" applyBorder="1" applyFont="1" applyNumberFormat="1">
      <alignment horizontal="center" vertical="center"/>
    </xf>
    <xf borderId="7" fillId="13" fontId="5" numFmtId="0" xfId="0" applyAlignment="1" applyBorder="1" applyFill="1" applyFont="1">
      <alignment horizontal="left" shrinkToFit="0" vertical="top" wrapText="1"/>
    </xf>
    <xf borderId="1" fillId="0" fontId="16" numFmtId="9" xfId="0" applyAlignment="1" applyBorder="1" applyFont="1" applyNumberFormat="1">
      <alignment horizontal="center" vertical="center"/>
    </xf>
    <xf borderId="22" fillId="13" fontId="5" numFmtId="0" xfId="0" applyAlignment="1" applyBorder="1" applyFill="1" applyFont="1">
      <alignment horizontal="left" shrinkToFit="0" vertical="top" wrapText="1"/>
    </xf>
    <xf borderId="9" fillId="5" fontId="14" numFmtId="0" xfId="0" applyAlignment="1" applyBorder="1" applyFill="1" applyFont="1">
      <alignment horizontal="center"/>
    </xf>
    <xf borderId="0" fillId="0" fontId="5" numFmtId="2" xfId="0" applyAlignment="1" applyFont="1" applyNumberFormat="1">
      <alignment horizontal="center"/>
    </xf>
    <xf borderId="17" fillId="13" fontId="5" numFmtId="166" xfId="0" applyAlignment="1" applyBorder="1" applyFill="1" applyFont="1" applyNumberFormat="1">
      <alignment horizontal="right" vertical="top"/>
    </xf>
    <xf borderId="18" fillId="13" fontId="5" numFmtId="166" xfId="0" applyAlignment="1" applyBorder="1" applyFill="1" applyFont="1" applyNumberFormat="1">
      <alignment horizontal="right" vertical="top"/>
    </xf>
    <xf borderId="19" fillId="13" fontId="5" numFmtId="0" xfId="0" applyAlignment="1" applyBorder="1" applyFill="1" applyFont="1">
      <alignment horizontal="left" shrinkToFit="0" vertical="top" wrapText="1"/>
    </xf>
    <xf borderId="1" fillId="10" fontId="15" numFmtId="164" xfId="0" applyAlignment="1" applyBorder="1" applyFill="1" applyFont="1" applyNumberFormat="1">
      <alignment horizontal="center"/>
    </xf>
    <xf borderId="0" fillId="0" fontId="5" numFmtId="166" xfId="0" applyAlignment="1" applyFont="1" applyNumberFormat="1">
      <alignment vertical="top"/>
    </xf>
    <xf borderId="34" fillId="11" fontId="10" numFmtId="164" xfId="0" applyAlignment="1" applyBorder="1" applyFill="1" applyFont="1" applyNumberFormat="1">
      <alignment horizontal="center"/>
    </xf>
    <xf borderId="12" fillId="9" fontId="19" numFmtId="0" xfId="0" applyAlignment="1" applyBorder="1" applyFill="1" applyFont="1">
      <alignment horizontal="left" readingOrder="0"/>
    </xf>
    <xf borderId="18" fillId="9" fontId="20" numFmtId="0" xfId="0" applyBorder="1" applyFill="1" applyFont="1"/>
    <xf borderId="27" fillId="9" fontId="1" numFmtId="0" xfId="0" applyAlignment="1" applyBorder="1" applyFill="1" applyFont="1">
      <alignment horizontal="left"/>
    </xf>
    <xf borderId="28" fillId="9" fontId="1" numFmtId="0" xfId="0" applyAlignment="1" applyBorder="1" applyFill="1" applyFont="1">
      <alignment horizontal="left"/>
    </xf>
    <xf borderId="5" fillId="4" fontId="1" numFmtId="0" xfId="0" applyBorder="1" applyFill="1" applyFont="1"/>
    <xf borderId="6" fillId="4" fontId="5" numFmtId="0" xfId="0" applyBorder="1" applyFill="1" applyFont="1"/>
    <xf borderId="6" fillId="4" fontId="5" numFmtId="0" xfId="0" applyAlignment="1" applyBorder="1" applyFill="1" applyFont="1">
      <alignment horizontal="center"/>
    </xf>
    <xf borderId="8" fillId="4" fontId="5" numFmtId="0" xfId="0" applyBorder="1" applyFill="1" applyFont="1"/>
    <xf borderId="17" fillId="4" fontId="5" numFmtId="0" xfId="0" applyAlignment="1" applyBorder="1" applyFill="1" applyFont="1">
      <alignment vertical="top"/>
    </xf>
    <xf borderId="7" fillId="4" fontId="5" numFmtId="0" xfId="0" applyAlignment="1" applyBorder="1" applyFill="1" applyFont="1">
      <alignment horizontal="center" vertical="top"/>
    </xf>
    <xf borderId="7" fillId="4" fontId="5" numFmtId="0" xfId="0" applyAlignment="1" applyBorder="1" applyFill="1" applyFont="1">
      <alignment horizontal="left" vertical="top"/>
    </xf>
    <xf borderId="22" fillId="4" fontId="5" numFmtId="0" xfId="0" applyAlignment="1" applyBorder="1" applyFill="1" applyFont="1">
      <alignment horizontal="left" vertical="top"/>
    </xf>
    <xf borderId="2" fillId="4" fontId="5" numFmtId="0" xfId="0" applyAlignment="1" applyBorder="1" applyFill="1" applyFont="1">
      <alignment horizontal="left" shrinkToFit="0" vertical="top" wrapText="1"/>
    </xf>
    <xf borderId="0" fillId="0" fontId="14" numFmtId="0" xfId="0" applyAlignment="1" applyFont="1">
      <alignment horizontal="center"/>
    </xf>
    <xf borderId="1" fillId="0" fontId="16" numFmtId="2" xfId="0" applyAlignment="1" applyBorder="1" applyFont="1" applyNumberFormat="1">
      <alignment horizontal="center"/>
    </xf>
    <xf borderId="1" fillId="15" fontId="16" numFmtId="0" xfId="0" applyAlignment="1" applyBorder="1" applyFill="1" applyFont="1">
      <alignment horizontal="center" vertical="center"/>
    </xf>
    <xf borderId="1" fillId="15" fontId="16" numFmtId="164" xfId="0" applyAlignment="1" applyBorder="1" applyFill="1" applyFont="1" applyNumberFormat="1">
      <alignment horizontal="center" vertical="center"/>
    </xf>
    <xf borderId="18" fillId="4" fontId="5" numFmtId="0" xfId="0" applyAlignment="1" applyBorder="1" applyFill="1" applyFont="1">
      <alignment vertical="top"/>
    </xf>
    <xf borderId="27" fillId="4" fontId="5" numFmtId="0" xfId="0" applyAlignment="1" applyBorder="1" applyFill="1" applyFont="1">
      <alignment horizontal="center" vertical="top"/>
    </xf>
    <xf borderId="1" fillId="15" fontId="16" numFmtId="2" xfId="0" applyAlignment="1" applyBorder="1" applyFill="1" applyFont="1" applyNumberFormat="1">
      <alignment horizontal="center" vertical="center"/>
    </xf>
    <xf borderId="27" fillId="4" fontId="5" numFmtId="0" xfId="0" applyAlignment="1" applyBorder="1" applyFill="1" applyFont="1">
      <alignment horizontal="left" vertical="top"/>
    </xf>
    <xf borderId="28" fillId="4" fontId="5" numFmtId="0" xfId="0" applyAlignment="1" applyBorder="1" applyFill="1" applyFont="1">
      <alignment horizontal="left" vertical="top"/>
    </xf>
    <xf borderId="1" fillId="15" fontId="16" numFmtId="165" xfId="0" applyAlignment="1" applyBorder="1" applyFill="1" applyFont="1" applyNumberFormat="1">
      <alignment horizontal="center" vertical="center"/>
    </xf>
    <xf borderId="1" fillId="15" fontId="16" numFmtId="9" xfId="0" applyAlignment="1" applyBorder="1" applyFill="1" applyFont="1" applyNumberFormat="1">
      <alignment horizontal="center" vertical="center"/>
    </xf>
    <xf borderId="0" fillId="0" fontId="21" numFmtId="0" xfId="0" applyFont="1"/>
    <xf borderId="0" fillId="0" fontId="16" numFmtId="165" xfId="0" applyAlignment="1" applyFont="1" applyNumberFormat="1">
      <alignment horizontal="center" vertical="center"/>
    </xf>
    <xf borderId="0" fillId="0" fontId="5" numFmtId="0" xfId="0" applyFont="1"/>
    <xf borderId="0" fillId="0" fontId="5" numFmtId="0" xfId="0" applyAlignment="1" applyFont="1">
      <alignment horizontal="left" shrinkToFit="0" wrapText="1"/>
    </xf>
    <xf borderId="9" fillId="0" fontId="16" numFmtId="0" xfId="0" applyAlignment="1" applyBorder="1" applyFont="1">
      <alignment horizontal="center"/>
    </xf>
    <xf borderId="0" fillId="0" fontId="1" numFmtId="2" xfId="0" applyFont="1" applyNumberFormat="1"/>
    <xf borderId="9" fillId="9" fontId="14" numFmtId="0" xfId="0" applyAlignment="1" applyBorder="1" applyFill="1" applyFont="1">
      <alignment horizontal="center"/>
    </xf>
    <xf borderId="0" fillId="0" fontId="16" numFmtId="0" xfId="0" applyAlignment="1" applyFont="1">
      <alignment horizontal="center"/>
    </xf>
    <xf borderId="0" fillId="0" fontId="16" numFmtId="2" xfId="0" applyAlignment="1" applyFont="1" applyNumberFormat="1">
      <alignment horizontal="center" vertical="center"/>
    </xf>
    <xf borderId="0" fillId="0" fontId="16" numFmtId="2" xfId="0" applyAlignment="1" applyFont="1" applyNumberFormat="1">
      <alignment horizontal="center" vertical="top"/>
    </xf>
    <xf borderId="1" fillId="14" fontId="16" numFmtId="0" xfId="0" applyAlignment="1" applyBorder="1" applyFill="1" applyFont="1">
      <alignment horizontal="center" vertical="top"/>
    </xf>
    <xf borderId="1" fillId="14" fontId="16" numFmtId="164" xfId="0" applyAlignment="1" applyBorder="1" applyFill="1" applyFont="1" applyNumberFormat="1">
      <alignment horizontal="center" vertical="top"/>
    </xf>
    <xf borderId="1" fillId="14" fontId="16" numFmtId="2" xfId="0" applyAlignment="1" applyBorder="1" applyFill="1" applyFont="1" applyNumberFormat="1">
      <alignment horizontal="center" vertical="top"/>
    </xf>
    <xf borderId="1" fillId="14" fontId="16" numFmtId="165" xfId="0" applyAlignment="1" applyBorder="1" applyFill="1" applyFont="1" applyNumberFormat="1">
      <alignment horizontal="center" vertical="top"/>
    </xf>
    <xf borderId="1" fillId="14" fontId="16" numFmtId="9" xfId="0" applyAlignment="1" applyBorder="1" applyFill="1" applyFont="1" applyNumberFormat="1">
      <alignment horizontal="center" vertical="top"/>
    </xf>
    <xf borderId="0" fillId="0" fontId="14" numFmtId="0" xfId="0" applyAlignment="1" applyFont="1">
      <alignment vertical="center"/>
    </xf>
    <xf borderId="0" fillId="0" fontId="16" numFmtId="165" xfId="0" applyFont="1" applyNumberFormat="1"/>
    <xf borderId="0" fillId="0" fontId="16" numFmtId="0" xfId="0" applyAlignment="1" applyFont="1">
      <alignment horizontal="center" vertical="top"/>
    </xf>
    <xf borderId="0" fillId="0" fontId="16" numFmtId="2" xfId="0" applyFont="1" applyNumberFormat="1"/>
    <xf borderId="1" fillId="0" fontId="16" numFmtId="0" xfId="0" applyAlignment="1" applyBorder="1" applyFont="1">
      <alignment horizontal="center" vertical="top"/>
    </xf>
    <xf borderId="1" fillId="0" fontId="16" numFmtId="164" xfId="0" applyAlignment="1" applyBorder="1" applyFont="1" applyNumberFormat="1">
      <alignment horizontal="center"/>
    </xf>
    <xf borderId="1" fillId="0" fontId="16" numFmtId="164" xfId="0" applyAlignment="1" applyBorder="1" applyFont="1" applyNumberFormat="1">
      <alignment horizontal="center" vertical="top"/>
    </xf>
    <xf borderId="1" fillId="0" fontId="16" numFmtId="165" xfId="0" applyAlignment="1" applyBorder="1" applyFont="1" applyNumberFormat="1">
      <alignment horizontal="center" vertical="top"/>
    </xf>
    <xf borderId="1" fillId="0" fontId="16" numFmtId="9" xfId="0" applyAlignment="1" applyBorder="1" applyFont="1" applyNumberFormat="1">
      <alignment horizontal="center" vertical="top"/>
    </xf>
    <xf borderId="0" fillId="0" fontId="16" numFmtId="164" xfId="0" applyFont="1" applyNumberFormat="1"/>
    <xf borderId="0" fillId="0" fontId="14" numFmtId="0" xfId="0" applyAlignment="1" applyFont="1">
      <alignment horizontal="center" shrinkToFit="0" vertical="center" wrapText="1"/>
    </xf>
    <xf borderId="0" fillId="0" fontId="16" numFmtId="9" xfId="0" applyAlignment="1" applyFont="1" applyNumberFormat="1">
      <alignment horizontal="center"/>
    </xf>
    <xf borderId="0" fillId="0" fontId="16" numFmtId="9" xfId="0" applyAlignment="1" applyFont="1" applyNumberFormat="1">
      <alignment horizontal="center" vertical="center"/>
    </xf>
    <xf borderId="0" fillId="0" fontId="16" numFmtId="9" xfId="0" applyAlignment="1" applyFont="1" applyNumberFormat="1">
      <alignment horizontal="left"/>
    </xf>
    <xf borderId="0" fillId="0" fontId="6" numFmtId="2" xfId="0" applyFont="1" applyNumberFormat="1"/>
    <xf borderId="24" fillId="11" fontId="6" numFmtId="2" xfId="0" applyAlignment="1" applyBorder="1" applyFill="1" applyFont="1" applyNumberFormat="1">
      <alignment horizontal="center"/>
    </xf>
    <xf borderId="35" fillId="0" fontId="17" numFmtId="0" xfId="0" applyAlignment="1" applyBorder="1" applyFont="1">
      <alignment horizontal="left" vertical="top"/>
    </xf>
    <xf borderId="24" fillId="10" fontId="15" numFmtId="2" xfId="0" applyAlignment="1" applyBorder="1" applyFill="1" applyFont="1" applyNumberFormat="1">
      <alignment horizontal="center"/>
    </xf>
    <xf borderId="0" fillId="0" fontId="14" numFmtId="0" xfId="0" applyFont="1"/>
    <xf borderId="0" fillId="0" fontId="14" numFmtId="9" xfId="0" applyAlignment="1" applyFont="1" applyNumberFormat="1">
      <alignment vertical="center"/>
    </xf>
    <xf borderId="0" fillId="0" fontId="14" numFmtId="0" xfId="0" applyAlignment="1" applyFont="1">
      <alignment shrinkToFit="0" vertical="center" wrapText="1"/>
    </xf>
    <xf borderId="0" fillId="0" fontId="14" numFmtId="0" xfId="0" applyAlignment="1" applyFont="1">
      <alignment horizontal="center" vertical="center"/>
    </xf>
    <xf borderId="0" fillId="0" fontId="16" numFmtId="165" xfId="0" applyAlignment="1" applyFont="1" applyNumberFormat="1">
      <alignment horizontal="center"/>
    </xf>
    <xf borderId="0" fillId="0" fontId="16" numFmtId="0" xfId="0" applyAlignment="1" applyFont="1">
      <alignment horizontal="center" vertical="center"/>
    </xf>
    <xf borderId="0" fillId="0" fontId="16" numFmtId="164" xfId="0" applyAlignment="1" applyFont="1" applyNumberFormat="1">
      <alignment horizontal="center" vertical="center"/>
    </xf>
    <xf borderId="0" fillId="0" fontId="16" numFmtId="2" xfId="0" applyAlignment="1" applyFont="1" applyNumberFormat="1">
      <alignment horizontal="center"/>
    </xf>
    <xf borderId="1" fillId="10" fontId="15" numFmtId="9" xfId="0" applyAlignment="1" applyBorder="1" applyFill="1" applyFont="1" applyNumberFormat="1">
      <alignment vertical="top"/>
    </xf>
    <xf borderId="36" fillId="11" fontId="10" numFmtId="2" xfId="0" applyAlignment="1" applyBorder="1" applyFill="1" applyFont="1" applyNumberFormat="1">
      <alignment horizontal="center"/>
    </xf>
    <xf borderId="34" fillId="11" fontId="10" numFmtId="2" xfId="0" applyAlignment="1" applyBorder="1" applyFill="1" applyFont="1" applyNumberFormat="1">
      <alignment horizontal="center"/>
    </xf>
    <xf borderId="7" fillId="5" fontId="22" numFmtId="164" xfId="0" applyAlignment="1" applyBorder="1" applyFill="1" applyFont="1" applyNumberFormat="1">
      <alignment horizontal="center" vertical="top"/>
    </xf>
    <xf borderId="1" fillId="11" fontId="10" numFmtId="2" xfId="0" applyAlignment="1" applyBorder="1" applyFill="1" applyFont="1" applyNumberFormat="1">
      <alignment horizontal="center"/>
    </xf>
    <xf borderId="0" fillId="0" fontId="5" numFmtId="164" xfId="0" applyAlignment="1" applyFont="1" applyNumberFormat="1">
      <alignment horizontal="center"/>
    </xf>
    <xf borderId="7" fillId="5" fontId="5" numFmtId="164" xfId="0" applyAlignment="1" applyBorder="1" applyFill="1" applyFont="1" applyNumberFormat="1">
      <alignment horizontal="center" vertical="top"/>
    </xf>
    <xf borderId="0" fillId="0" fontId="10" numFmtId="164" xfId="0" applyAlignment="1" applyFont="1" applyNumberFormat="1">
      <alignment horizontal="center"/>
    </xf>
    <xf borderId="1" fillId="10" fontId="15" numFmtId="165" xfId="0" applyAlignment="1" applyBorder="1" applyFill="1" applyFont="1" applyNumberFormat="1">
      <alignment horizontal="center"/>
    </xf>
    <xf borderId="37" fillId="11" fontId="10" numFmtId="2" xfId="0" applyAlignment="1" applyBorder="1" applyFill="1" applyFont="1" applyNumberFormat="1">
      <alignment horizontal="center"/>
    </xf>
    <xf borderId="0" fillId="0" fontId="5" numFmtId="165" xfId="0" applyAlignment="1" applyFont="1" applyNumberFormat="1">
      <alignment horizontal="center"/>
    </xf>
    <xf borderId="34" fillId="11" fontId="10" numFmtId="168" xfId="0" applyAlignment="1" applyBorder="1" applyFill="1" applyFont="1" applyNumberFormat="1">
      <alignment horizontal="center"/>
    </xf>
    <xf borderId="36" fillId="11" fontId="10" numFmtId="164" xfId="0" applyAlignment="1" applyBorder="1" applyFill="1" applyFont="1" applyNumberFormat="1">
      <alignment horizontal="center"/>
    </xf>
    <xf borderId="7" fillId="10" fontId="15" numFmtId="164" xfId="0" applyAlignment="1" applyBorder="1" applyFill="1" applyFont="1" applyNumberFormat="1">
      <alignment horizontal="center"/>
    </xf>
    <xf borderId="1" fillId="11" fontId="10" numFmtId="164" xfId="0" applyAlignment="1" applyBorder="1" applyFill="1" applyFont="1" applyNumberFormat="1">
      <alignment horizontal="center"/>
    </xf>
    <xf borderId="7" fillId="16" fontId="9" numFmtId="0" xfId="0" applyBorder="1" applyFill="1" applyFont="1"/>
    <xf borderId="7" fillId="16" fontId="15" numFmtId="0" xfId="0" applyBorder="1" applyFill="1" applyFont="1"/>
    <xf borderId="7" fillId="17" fontId="1" numFmtId="0" xfId="0" applyBorder="1" applyFill="1" applyFont="1"/>
    <xf borderId="7" fillId="17" fontId="5" numFmtId="0" xfId="0" applyBorder="1" applyFill="1" applyFont="1"/>
    <xf borderId="7" fillId="17" fontId="5" numFmtId="0" xfId="0" applyAlignment="1" applyBorder="1" applyFill="1" applyFont="1">
      <alignment horizontal="center"/>
    </xf>
    <xf borderId="24" fillId="11" fontId="10" numFmtId="164" xfId="0" applyAlignment="1" applyBorder="1" applyFill="1" applyFont="1" applyNumberFormat="1">
      <alignment horizontal="center" readingOrder="0"/>
    </xf>
    <xf borderId="24" fillId="11" fontId="10" numFmtId="2" xfId="0" applyAlignment="1" applyBorder="1" applyFill="1" applyFont="1" applyNumberFormat="1">
      <alignment horizontal="center" readingOrder="0"/>
    </xf>
    <xf borderId="7" fillId="5" fontId="23" numFmtId="0" xfId="0" applyAlignment="1" applyBorder="1" applyFill="1" applyFont="1">
      <alignment horizontal="center" vertical="top"/>
    </xf>
    <xf borderId="0" fillId="0" fontId="24" numFmtId="0" xfId="0" applyFont="1"/>
    <xf borderId="24" fillId="7" fontId="5" numFmtId="0" xfId="0" applyAlignment="1" applyBorder="1" applyFill="1" applyFont="1">
      <alignment horizontal="center" readingOrder="0"/>
    </xf>
    <xf borderId="24" fillId="7" fontId="5" numFmtId="0" xfId="0" applyAlignment="1" applyBorder="1" applyFill="1" applyFont="1">
      <alignment horizontal="center"/>
    </xf>
    <xf borderId="24" fillId="11" fontId="25" numFmtId="164" xfId="0" applyAlignment="1" applyBorder="1" applyFill="1" applyFont="1" applyNumberFormat="1">
      <alignment horizontal="center"/>
    </xf>
    <xf borderId="24" fillId="7" fontId="5" numFmtId="169" xfId="0" applyAlignment="1" applyBorder="1" applyFill="1" applyFont="1" applyNumberFormat="1">
      <alignment horizontal="center" readingOrder="0"/>
    </xf>
    <xf borderId="24" fillId="7" fontId="5" numFmtId="169" xfId="0" applyAlignment="1" applyBorder="1" applyFill="1" applyFont="1" applyNumberFormat="1">
      <alignment horizontal="center"/>
    </xf>
    <xf borderId="38" fillId="7" fontId="5" numFmtId="169" xfId="0" applyAlignment="1" applyBorder="1" applyFill="1" applyFont="1" applyNumberFormat="1">
      <alignment horizontal="center"/>
    </xf>
    <xf borderId="0" fillId="0" fontId="10" numFmtId="169" xfId="0" applyAlignment="1" applyFont="1" applyNumberFormat="1">
      <alignment horizontal="center"/>
    </xf>
    <xf borderId="7" fillId="5" fontId="26" numFmtId="0" xfId="0" applyAlignment="1" applyBorder="1" applyFill="1" applyFont="1">
      <alignment horizontal="center"/>
    </xf>
    <xf borderId="24" fillId="11" fontId="5" numFmtId="169" xfId="0" applyAlignment="1" applyBorder="1" applyFill="1" applyFont="1" applyNumberFormat="1">
      <alignment horizontal="center"/>
    </xf>
    <xf borderId="24" fillId="11" fontId="25" numFmtId="169" xfId="0" applyAlignment="1" applyBorder="1" applyFill="1" applyFont="1" applyNumberFormat="1">
      <alignment horizontal="center"/>
    </xf>
    <xf borderId="7" fillId="5" fontId="27" numFmtId="169" xfId="0" applyAlignment="1" applyBorder="1" applyFill="1" applyFont="1" applyNumberFormat="1">
      <alignment horizontal="center" vertical="top"/>
    </xf>
    <xf borderId="24" fillId="11" fontId="10" numFmtId="168" xfId="0" applyAlignment="1" applyBorder="1" applyFill="1" applyFont="1" applyNumberFormat="1">
      <alignment horizontal="center"/>
    </xf>
    <xf borderId="1" fillId="5" fontId="1" numFmtId="0" xfId="0" applyBorder="1" applyFill="1" applyFont="1"/>
    <xf borderId="1" fillId="5" fontId="1" numFmtId="0" xfId="0" applyAlignment="1" applyBorder="1" applyFill="1" applyFont="1">
      <alignment horizontal="center" shrinkToFit="0" wrapText="1"/>
    </xf>
    <xf borderId="1" fillId="0" fontId="5" numFmtId="0" xfId="0" applyBorder="1" applyFont="1"/>
    <xf borderId="1" fillId="0" fontId="5" numFmtId="170" xfId="0" applyAlignment="1" applyBorder="1" applyFont="1" applyNumberFormat="1">
      <alignment horizontal="center"/>
    </xf>
    <xf borderId="1" fillId="0" fontId="5" numFmtId="0" xfId="0" applyAlignment="1" applyBorder="1" applyFont="1">
      <alignment horizontal="center"/>
    </xf>
    <xf borderId="1" fillId="0" fontId="5" numFmtId="170" xfId="0" applyBorder="1" applyFont="1" applyNumberFormat="1"/>
    <xf borderId="1" fillId="0" fontId="5" numFmtId="165" xfId="0" applyAlignment="1" applyBorder="1" applyFont="1" applyNumberFormat="1">
      <alignment horizontal="center"/>
    </xf>
    <xf borderId="1" fillId="9" fontId="1" numFmtId="0" xfId="0" applyAlignment="1" applyBorder="1" applyFill="1" applyFont="1">
      <alignment horizontal="center"/>
    </xf>
    <xf borderId="24" fillId="7" fontId="5" numFmtId="164" xfId="0" applyAlignment="1" applyBorder="1" applyFill="1" applyFont="1" applyNumberFormat="1">
      <alignment horizontal="center" readingOrder="0"/>
    </xf>
    <xf borderId="1" fillId="9" fontId="1" numFmtId="170" xfId="0" applyBorder="1" applyFill="1" applyFont="1" applyNumberFormat="1"/>
    <xf borderId="24" fillId="7" fontId="5" numFmtId="164" xfId="0" applyAlignment="1" applyBorder="1" applyFill="1" applyFont="1" applyNumberFormat="1">
      <alignment horizontal="center"/>
    </xf>
    <xf borderId="1" fillId="9" fontId="1" numFmtId="165" xfId="0" applyAlignment="1" applyBorder="1" applyFill="1" applyFont="1" applyNumberFormat="1">
      <alignment horizontal="center"/>
    </xf>
    <xf borderId="0" fillId="0" fontId="5" numFmtId="171" xfId="0" applyFont="1" applyNumberFormat="1"/>
    <xf borderId="0" fillId="0" fontId="5" numFmtId="9" xfId="0" applyFont="1" applyNumberFormat="1"/>
    <xf borderId="1" fillId="9" fontId="1" numFmtId="0" xfId="0" applyBorder="1" applyFill="1" applyFont="1"/>
    <xf borderId="1" fillId="9" fontId="1" numFmtId="170" xfId="0" applyAlignment="1" applyBorder="1" applyFill="1" applyFont="1" applyNumberFormat="1">
      <alignment horizontal="center"/>
    </xf>
    <xf borderId="1" fillId="5" fontId="1" numFmtId="0" xfId="0" applyAlignment="1" applyBorder="1" applyFill="1" applyFont="1">
      <alignment horizontal="center"/>
    </xf>
    <xf borderId="39" fillId="11" fontId="10" numFmtId="164" xfId="0" applyAlignment="1" applyBorder="1" applyFill="1" applyFont="1" applyNumberFormat="1">
      <alignment horizontal="center"/>
    </xf>
    <xf borderId="40" fillId="11" fontId="10" numFmtId="169" xfId="0" applyAlignment="1" applyBorder="1" applyFill="1" applyFont="1" applyNumberFormat="1">
      <alignment horizontal="center"/>
    </xf>
    <xf borderId="24" fillId="7" fontId="5" numFmtId="2" xfId="0" applyAlignment="1" applyBorder="1" applyFill="1" applyFont="1" applyNumberFormat="1">
      <alignment horizontal="center" readingOrder="0"/>
    </xf>
    <xf borderId="0" fillId="0" fontId="2" numFmtId="0" xfId="0" applyAlignment="1" applyFont="1">
      <alignment horizontal="center"/>
    </xf>
    <xf borderId="9" fillId="18" fontId="1" numFmtId="0" xfId="0" applyAlignment="1" applyBorder="1" applyFill="1" applyFont="1">
      <alignment horizontal="center"/>
    </xf>
    <xf borderId="1" fillId="0" fontId="1" numFmtId="0" xfId="0" applyBorder="1" applyFont="1"/>
    <xf borderId="9" fillId="7" fontId="5" numFmtId="0" xfId="0" applyAlignment="1" applyBorder="1" applyFill="1" applyFont="1">
      <alignment horizontal="left"/>
    </xf>
    <xf borderId="1" fillId="2" fontId="1" numFmtId="0" xfId="0" applyAlignment="1" applyBorder="1" applyFill="1" applyFont="1">
      <alignment horizontal="center" shrinkToFit="0" wrapText="1"/>
    </xf>
    <xf borderId="7" fillId="2" fontId="1" numFmtId="0" xfId="0" applyAlignment="1" applyBorder="1" applyFill="1" applyFont="1">
      <alignment shrinkToFit="0" wrapText="1"/>
    </xf>
    <xf borderId="1" fillId="0" fontId="5" numFmtId="172" xfId="0" applyAlignment="1" applyBorder="1" applyFont="1" applyNumberFormat="1">
      <alignment horizontal="center"/>
    </xf>
    <xf borderId="1" fillId="0" fontId="5" numFmtId="164" xfId="0" applyAlignment="1" applyBorder="1" applyFont="1" applyNumberFormat="1">
      <alignment horizontal="center"/>
    </xf>
    <xf borderId="9" fillId="7" fontId="5" numFmtId="0" xfId="0" applyAlignment="1" applyBorder="1" applyFill="1" applyFont="1">
      <alignment horizontal="center"/>
    </xf>
    <xf borderId="1" fillId="10" fontId="15" numFmtId="0" xfId="0" applyAlignment="1" applyBorder="1" applyFill="1" applyFont="1">
      <alignment horizontal="center"/>
    </xf>
    <xf borderId="1" fillId="0" fontId="5" numFmtId="1" xfId="0" applyAlignment="1" applyBorder="1" applyFont="1" applyNumberFormat="1">
      <alignment horizontal="center"/>
    </xf>
    <xf borderId="9" fillId="10" fontId="15" numFmtId="0" xfId="0" applyAlignment="1" applyBorder="1" applyFill="1" applyFont="1">
      <alignment horizontal="left"/>
    </xf>
    <xf borderId="1" fillId="0" fontId="5" numFmtId="2" xfId="0" applyAlignment="1" applyBorder="1" applyFont="1" applyNumberFormat="1">
      <alignment horizontal="center"/>
    </xf>
    <xf borderId="1" fillId="0" fontId="5" numFmtId="168" xfId="0" applyAlignment="1" applyBorder="1" applyFont="1" applyNumberFormat="1">
      <alignment horizontal="center"/>
    </xf>
    <xf borderId="0" fillId="0" fontId="1" numFmtId="0" xfId="0" applyAlignment="1" applyFont="1">
      <alignment horizontal="center"/>
    </xf>
    <xf borderId="1" fillId="8" fontId="5" numFmtId="164" xfId="0" applyAlignment="1" applyBorder="1" applyFill="1" applyFont="1" applyNumberFormat="1">
      <alignment horizontal="center"/>
    </xf>
    <xf borderId="1" fillId="10" fontId="15" numFmtId="3" xfId="0" applyAlignment="1" applyBorder="1" applyFill="1" applyFont="1" applyNumberFormat="1">
      <alignment horizontal="center"/>
    </xf>
    <xf borderId="24" fillId="7" fontId="5" numFmtId="2" xfId="0" applyAlignment="1" applyBorder="1" applyFill="1" applyFont="1" applyNumberFormat="1">
      <alignment horizontal="center"/>
    </xf>
    <xf borderId="1" fillId="8" fontId="5" numFmtId="2" xfId="0" applyAlignment="1" applyBorder="1" applyFill="1" applyFont="1" applyNumberFormat="1">
      <alignment horizontal="center"/>
    </xf>
    <xf borderId="41" fillId="0" fontId="5" numFmtId="172" xfId="0" applyAlignment="1" applyBorder="1" applyFont="1" applyNumberFormat="1">
      <alignment horizontal="center"/>
    </xf>
    <xf borderId="0" fillId="0" fontId="5" numFmtId="172" xfId="0" applyAlignment="1" applyFont="1" applyNumberFormat="1">
      <alignment horizontal="center"/>
    </xf>
    <xf borderId="0" fillId="0" fontId="5" numFmtId="168" xfId="0" applyAlignment="1" applyFont="1" applyNumberFormat="1">
      <alignment horizontal="center"/>
    </xf>
    <xf borderId="0" fillId="0" fontId="5" numFmtId="170" xfId="0" applyAlignment="1" applyFont="1" applyNumberFormat="1">
      <alignment horizontal="center"/>
    </xf>
    <xf borderId="0" fillId="0" fontId="5" numFmtId="1" xfId="0" applyAlignment="1" applyFont="1" applyNumberFormat="1">
      <alignment horizontal="center"/>
    </xf>
    <xf borderId="24" fillId="7" fontId="5" numFmtId="168" xfId="0" applyAlignment="1" applyBorder="1" applyFill="1" applyFont="1" applyNumberFormat="1">
      <alignment horizontal="center" readingOrder="0"/>
    </xf>
    <xf borderId="24" fillId="11" fontId="5" numFmtId="169" xfId="0" applyAlignment="1" applyBorder="1" applyFill="1" applyFont="1" applyNumberFormat="1">
      <alignment horizontal="center" readingOrder="0"/>
    </xf>
    <xf borderId="0" fillId="0" fontId="5" numFmtId="0" xfId="0" applyAlignment="1" applyFont="1">
      <alignment horizontal="center" shrinkToFit="0" wrapText="1"/>
    </xf>
    <xf borderId="1" fillId="2" fontId="1" numFmtId="164" xfId="0" applyAlignment="1" applyBorder="1" applyFill="1" applyFont="1" applyNumberFormat="1">
      <alignment horizontal="center" shrinkToFit="0" vertical="center" wrapText="1"/>
    </xf>
    <xf borderId="0" fillId="0" fontId="5" numFmtId="0" xfId="0" applyAlignment="1" applyFont="1">
      <alignment shrinkToFit="0" wrapText="1"/>
    </xf>
    <xf borderId="1" fillId="19" fontId="5" numFmtId="170" xfId="0" applyAlignment="1" applyBorder="1" applyFill="1" applyFont="1" applyNumberFormat="1">
      <alignment horizontal="center" shrinkToFit="0" vertical="top" wrapText="1"/>
    </xf>
    <xf borderId="24" fillId="7" fontId="5" numFmtId="173" xfId="0" applyAlignment="1" applyBorder="1" applyFill="1" applyFont="1" applyNumberFormat="1">
      <alignment horizontal="center"/>
    </xf>
    <xf borderId="24" fillId="19" fontId="5" numFmtId="170" xfId="0" applyAlignment="1" applyBorder="1" applyFill="1" applyFont="1" applyNumberFormat="1">
      <alignment horizontal="center" vertical="top"/>
    </xf>
    <xf borderId="1" fillId="19" fontId="5" numFmtId="0" xfId="0" applyAlignment="1" applyBorder="1" applyFill="1" applyFont="1">
      <alignment horizontal="center" shrinkToFit="0" vertical="top" wrapText="1"/>
    </xf>
    <xf borderId="1" fillId="19" fontId="5" numFmtId="0" xfId="0" applyAlignment="1" applyBorder="1" applyFill="1" applyFont="1">
      <alignment shrinkToFit="0" vertical="center" wrapText="1"/>
    </xf>
    <xf borderId="1" fillId="19" fontId="5" numFmtId="0" xfId="0" applyAlignment="1" applyBorder="1" applyFill="1" applyFont="1">
      <alignment horizontal="center" shrinkToFit="0" vertical="center" wrapText="1"/>
    </xf>
    <xf borderId="1" fillId="19" fontId="5" numFmtId="164" xfId="0" applyAlignment="1" applyBorder="1" applyFill="1" applyFont="1" applyNumberFormat="1">
      <alignment horizontal="center" shrinkToFit="0" vertical="center" wrapText="1"/>
    </xf>
    <xf borderId="1" fillId="19" fontId="5" numFmtId="170" xfId="0" applyAlignment="1" applyBorder="1" applyFill="1" applyFont="1" applyNumberFormat="1">
      <alignment horizontal="center" vertical="top"/>
    </xf>
    <xf borderId="1" fillId="19" fontId="5" numFmtId="0" xfId="0" applyAlignment="1" applyBorder="1" applyFill="1" applyFont="1">
      <alignment horizontal="center" vertical="top"/>
    </xf>
    <xf borderId="1" fillId="19" fontId="5" numFmtId="0" xfId="0" applyAlignment="1" applyBorder="1" applyFill="1" applyFont="1">
      <alignment shrinkToFit="0" vertical="top" wrapText="1"/>
    </xf>
    <xf borderId="1" fillId="20" fontId="5" numFmtId="170" xfId="0" applyAlignment="1" applyBorder="1" applyFill="1" applyFont="1" applyNumberFormat="1">
      <alignment horizontal="center" vertical="top"/>
    </xf>
    <xf borderId="1" fillId="20" fontId="5" numFmtId="0" xfId="0" applyAlignment="1" applyBorder="1" applyFill="1" applyFont="1">
      <alignment horizontal="center" vertical="top"/>
    </xf>
    <xf borderId="1" fillId="20" fontId="5" numFmtId="0" xfId="0" applyAlignment="1" applyBorder="1" applyFill="1" applyFont="1">
      <alignment shrinkToFit="0" vertical="top" wrapText="1"/>
    </xf>
    <xf borderId="1" fillId="20" fontId="5" numFmtId="0" xfId="0" applyAlignment="1" applyBorder="1" applyFill="1" applyFont="1">
      <alignment horizontal="center" shrinkToFit="0" vertical="top" wrapText="1"/>
    </xf>
    <xf borderId="1" fillId="21" fontId="5" numFmtId="164" xfId="0" applyAlignment="1" applyBorder="1" applyFill="1" applyFont="1" applyNumberFormat="1">
      <alignment horizontal="center" shrinkToFit="0" vertical="center" wrapText="1"/>
    </xf>
    <xf borderId="1" fillId="18" fontId="5" numFmtId="170" xfId="0" applyAlignment="1" applyBorder="1" applyFill="1" applyFont="1" applyNumberFormat="1">
      <alignment horizontal="center" vertical="top"/>
    </xf>
    <xf borderId="1" fillId="18" fontId="5" numFmtId="0" xfId="0" applyAlignment="1" applyBorder="1" applyFill="1" applyFont="1">
      <alignment horizontal="center" vertical="top"/>
    </xf>
    <xf borderId="1" fillId="18" fontId="5" numFmtId="0" xfId="0" applyAlignment="1" applyBorder="1" applyFill="1" applyFont="1">
      <alignment shrinkToFit="0" vertical="top" wrapText="1"/>
    </xf>
    <xf borderId="1" fillId="18" fontId="5" numFmtId="0" xfId="0" applyAlignment="1" applyBorder="1" applyFill="1" applyFont="1">
      <alignment horizontal="center" shrinkToFit="0" vertical="top" wrapText="1"/>
    </xf>
    <xf borderId="1" fillId="18" fontId="5" numFmtId="164" xfId="0" applyAlignment="1" applyBorder="1" applyFill="1" applyFont="1" applyNumberFormat="1">
      <alignment horizontal="center" shrinkToFit="0" vertical="center" wrapText="1"/>
    </xf>
    <xf borderId="1" fillId="16" fontId="5" numFmtId="170" xfId="0" applyAlignment="1" applyBorder="1" applyFill="1" applyFont="1" applyNumberFormat="1">
      <alignment horizontal="center" vertical="top"/>
    </xf>
    <xf borderId="1" fillId="16" fontId="5" numFmtId="0" xfId="0" applyAlignment="1" applyBorder="1" applyFill="1" applyFont="1">
      <alignment horizontal="center" vertical="top"/>
    </xf>
    <xf borderId="1" fillId="16" fontId="5" numFmtId="0" xfId="0" applyAlignment="1" applyBorder="1" applyFill="1" applyFont="1">
      <alignment shrinkToFit="0" vertical="top" wrapText="1"/>
    </xf>
    <xf borderId="1" fillId="16" fontId="5" numFmtId="0" xfId="0" applyAlignment="1" applyBorder="1" applyFill="1" applyFont="1">
      <alignment horizontal="center" shrinkToFit="0" vertical="top" wrapText="1"/>
    </xf>
    <xf borderId="1" fillId="16" fontId="5" numFmtId="164" xfId="0" applyAlignment="1" applyBorder="1" applyFill="1" applyFont="1" applyNumberFormat="1">
      <alignment horizontal="center" shrinkToFit="0" vertical="center" wrapText="1"/>
    </xf>
    <xf borderId="1" fillId="16" fontId="5" numFmtId="0" xfId="0" applyAlignment="1" applyBorder="1" applyFill="1" applyFont="1">
      <alignment horizontal="left" shrinkToFit="0" vertical="top" wrapText="1"/>
    </xf>
    <xf borderId="0" fillId="0" fontId="28" numFmtId="0" xfId="0" applyFont="1"/>
    <xf borderId="0" fillId="0" fontId="29" numFmtId="0" xfId="0" applyFont="1"/>
    <xf borderId="42" fillId="11" fontId="10" numFmtId="164" xfId="0" applyAlignment="1" applyBorder="1" applyFill="1" applyFont="1" applyNumberFormat="1">
      <alignment horizontal="center"/>
    </xf>
    <xf borderId="24" fillId="11" fontId="5" numFmtId="174" xfId="0" applyAlignment="1" applyBorder="1" applyFill="1" applyFont="1" applyNumberFormat="1">
      <alignment horizontal="center" readingOrder="0"/>
    </xf>
    <xf borderId="0" fillId="0" fontId="1" numFmtId="168" xfId="0" applyAlignment="1" applyFont="1" applyNumberFormat="1">
      <alignment horizontal="center"/>
    </xf>
    <xf borderId="43" fillId="11" fontId="10" numFmtId="169" xfId="0" applyAlignment="1" applyBorder="1" applyFill="1" applyFont="1" applyNumberFormat="1">
      <alignment horizontal="center"/>
    </xf>
    <xf borderId="7" fillId="5" fontId="30" numFmtId="164" xfId="0" applyAlignment="1" applyBorder="1" applyFill="1" applyFont="1" applyNumberFormat="1">
      <alignment horizontal="center" vertical="top"/>
    </xf>
    <xf borderId="24" fillId="10" fontId="15" numFmtId="164" xfId="0" applyAlignment="1" applyBorder="1" applyFill="1" applyFont="1" applyNumberFormat="1">
      <alignment horizontal="center"/>
    </xf>
    <xf borderId="1" fillId="10" fontId="15" numFmtId="168" xfId="0" applyAlignment="1" applyBorder="1" applyFill="1" applyFont="1" applyNumberFormat="1">
      <alignment horizontal="center"/>
    </xf>
    <xf borderId="0" fillId="0" fontId="5" numFmtId="168" xfId="0" applyFont="1" applyNumberFormat="1"/>
    <xf borderId="38" fillId="11" fontId="10" numFmtId="164" xfId="0" applyAlignment="1" applyBorder="1" applyFill="1" applyFont="1" applyNumberFormat="1">
      <alignment horizontal="center"/>
    </xf>
    <xf borderId="7" fillId="5" fontId="31" numFmtId="164" xfId="0" applyAlignment="1" applyBorder="1" applyFill="1" applyFont="1" applyNumberFormat="1">
      <alignment horizontal="center" vertical="top"/>
    </xf>
    <xf borderId="36" fillId="11" fontId="10" numFmtId="168" xfId="0" applyAlignment="1" applyBorder="1" applyFill="1" applyFont="1" applyNumberFormat="1">
      <alignment horizontal="center"/>
    </xf>
    <xf borderId="1" fillId="11" fontId="10" numFmtId="168" xfId="0" applyAlignment="1" applyBorder="1" applyFill="1" applyFont="1" applyNumberFormat="1">
      <alignment horizontal="center"/>
    </xf>
    <xf borderId="0" fillId="0" fontId="5" numFmtId="169" xfId="0" applyFont="1" applyNumberFormat="1"/>
    <xf borderId="0" fillId="0" fontId="5" numFmtId="2" xfId="0" applyAlignment="1" applyFont="1" applyNumberFormat="1">
      <alignment horizontal="left"/>
    </xf>
    <xf borderId="24" fillId="11" fontId="10" numFmtId="0" xfId="0" applyAlignment="1" applyBorder="1" applyFill="1" applyFont="1">
      <alignment horizontal="center"/>
    </xf>
    <xf borderId="0" fillId="0" fontId="5" numFmtId="175" xfId="0" applyFont="1" applyNumberFormat="1"/>
    <xf borderId="7" fillId="5" fontId="5" numFmtId="175" xfId="0" applyAlignment="1" applyBorder="1" applyFill="1" applyFont="1" applyNumberFormat="1">
      <alignment horizontal="center" vertical="top"/>
    </xf>
    <xf borderId="0" fillId="0" fontId="5" numFmtId="173" xfId="0" applyAlignment="1" applyFont="1" applyNumberFormat="1">
      <alignment horizontal="center"/>
    </xf>
    <xf borderId="24" fillId="11" fontId="10" numFmtId="164" xfId="0" applyAlignment="1" applyBorder="1" applyFill="1" applyFont="1" applyNumberFormat="1">
      <alignment horizontal="center" vertical="top"/>
    </xf>
    <xf borderId="24" fillId="11" fontId="10" numFmtId="167" xfId="0" applyAlignment="1" applyBorder="1" applyFill="1" applyFont="1" applyNumberFormat="1">
      <alignment horizontal="center" vertical="top"/>
    </xf>
    <xf borderId="9" fillId="3" fontId="1" numFmtId="0" xfId="0" applyAlignment="1" applyBorder="1" applyFill="1" applyFont="1">
      <alignment horizontal="center" vertical="top"/>
    </xf>
    <xf borderId="1" fillId="3" fontId="1" numFmtId="0" xfId="0" applyAlignment="1" applyBorder="1" applyFill="1" applyFont="1">
      <alignment horizontal="center" vertical="top"/>
    </xf>
    <xf borderId="9" fillId="8" fontId="5" numFmtId="0" xfId="0" applyAlignment="1" applyBorder="1" applyFill="1" applyFont="1">
      <alignment horizontal="center" vertical="top"/>
    </xf>
    <xf borderId="1" fillId="8" fontId="5" numFmtId="0" xfId="0" applyAlignment="1" applyBorder="1" applyFill="1" applyFont="1">
      <alignment shrinkToFit="0" vertical="top" wrapText="1"/>
    </xf>
    <xf borderId="9" fillId="7" fontId="5" numFmtId="0" xfId="0" applyAlignment="1" applyBorder="1" applyFill="1" applyFont="1">
      <alignment horizontal="center" vertical="top"/>
    </xf>
    <xf borderId="1" fillId="7" fontId="5" numFmtId="0" xfId="0" applyAlignment="1" applyBorder="1" applyFill="1" applyFont="1">
      <alignment shrinkToFit="0" vertical="top" wrapText="1"/>
    </xf>
    <xf borderId="9" fillId="10" fontId="9" numFmtId="0" xfId="0" applyAlignment="1" applyBorder="1" applyFill="1" applyFont="1">
      <alignment horizontal="center" vertical="top"/>
    </xf>
    <xf borderId="1" fillId="10" fontId="5" numFmtId="0" xfId="0" applyAlignment="1" applyBorder="1" applyFill="1" applyFont="1">
      <alignment shrinkToFit="0" vertical="top" wrapText="1"/>
    </xf>
    <xf borderId="9" fillId="11" fontId="10" numFmtId="0" xfId="0" applyAlignment="1" applyBorder="1" applyFill="1" applyFont="1">
      <alignment horizontal="center" vertical="top"/>
    </xf>
    <xf borderId="1" fillId="11" fontId="5" numFmtId="0" xfId="0" applyAlignment="1" applyBorder="1" applyFill="1" applyFont="1">
      <alignment shrinkToFit="0" vertical="top" wrapText="1"/>
    </xf>
    <xf borderId="0" fillId="0" fontId="1" numFmtId="0" xfId="0" applyAlignment="1" applyFont="1">
      <alignment horizontal="center" shrinkToFit="0" vertical="center" wrapText="1"/>
    </xf>
    <xf borderId="1" fillId="5" fontId="1" numFmtId="0" xfId="0" applyAlignment="1" applyBorder="1" applyFill="1" applyFont="1">
      <alignment shrinkToFit="0" vertical="center" wrapText="1"/>
    </xf>
    <xf borderId="1" fillId="5" fontId="1" numFmtId="0" xfId="0" applyAlignment="1" applyBorder="1" applyFill="1" applyFont="1">
      <alignment horizontal="center" shrinkToFit="0" vertical="center" wrapText="1"/>
    </xf>
    <xf borderId="11" fillId="0" fontId="5" numFmtId="0" xfId="0" applyAlignment="1" applyBorder="1" applyFont="1">
      <alignment vertical="top"/>
    </xf>
    <xf borderId="10" fillId="0" fontId="5" numFmtId="0" xfId="0" applyAlignment="1" applyBorder="1" applyFont="1">
      <alignment vertical="top"/>
    </xf>
    <xf borderId="1" fillId="0" fontId="5" numFmtId="2" xfId="0" applyAlignment="1" applyBorder="1" applyFont="1" applyNumberFormat="1">
      <alignment horizontal="center" vertical="top"/>
    </xf>
    <xf borderId="1" fillId="0" fontId="5" numFmtId="169" xfId="0" applyAlignment="1" applyBorder="1" applyFont="1" applyNumberFormat="1">
      <alignment horizontal="center" vertical="top"/>
    </xf>
    <xf borderId="0" fillId="0" fontId="32" numFmtId="0" xfId="0" applyAlignment="1" applyFont="1">
      <alignment horizontal="left" shrinkToFit="0" wrapText="1"/>
    </xf>
    <xf borderId="0" fillId="0" fontId="5" numFmtId="169" xfId="0" applyAlignment="1" applyFont="1" applyNumberFormat="1">
      <alignment horizontal="center" vertical="top"/>
    </xf>
    <xf borderId="44" fillId="22" fontId="33" numFmtId="0" xfId="0" applyAlignment="1" applyBorder="1" applyFill="1" applyFont="1">
      <alignment horizontal="center" vertical="top"/>
    </xf>
    <xf borderId="45" fillId="22" fontId="33" numFmtId="0" xfId="0" applyAlignment="1" applyBorder="1" applyFill="1" applyFont="1">
      <alignment horizontal="center" vertical="top"/>
    </xf>
    <xf borderId="46" fillId="22" fontId="1" numFmtId="0" xfId="0" applyAlignment="1" applyBorder="1" applyFill="1" applyFont="1">
      <alignment horizontal="center" shrinkToFit="0" vertical="top" wrapText="1"/>
    </xf>
    <xf borderId="46" fillId="22" fontId="1" numFmtId="0" xfId="0" applyAlignment="1" applyBorder="1" applyFill="1" applyFont="1">
      <alignment horizontal="center" vertical="top"/>
    </xf>
    <xf borderId="1" fillId="5" fontId="1" numFmtId="0" xfId="0" applyAlignment="1" applyBorder="1" applyFill="1" applyFont="1">
      <alignment shrinkToFit="0" vertical="top" wrapText="1"/>
    </xf>
    <xf borderId="1" fillId="5" fontId="1" numFmtId="0" xfId="0" applyAlignment="1" applyBorder="1" applyFill="1" applyFont="1">
      <alignment horizontal="center" vertical="top"/>
    </xf>
    <xf borderId="1" fillId="5" fontId="1" numFmtId="2" xfId="0" applyAlignment="1" applyBorder="1" applyFill="1" applyFont="1" applyNumberFormat="1">
      <alignment horizontal="center" vertical="top"/>
    </xf>
    <xf borderId="47" fillId="22" fontId="1" numFmtId="0" xfId="0" applyAlignment="1" applyBorder="1" applyFill="1" applyFont="1">
      <alignment horizontal="center" vertical="top"/>
    </xf>
    <xf borderId="1" fillId="5" fontId="1" numFmtId="169" xfId="0" applyAlignment="1" applyBorder="1" applyFill="1" applyFont="1" applyNumberFormat="1">
      <alignment horizontal="center" vertical="top"/>
    </xf>
    <xf borderId="0" fillId="0" fontId="1" numFmtId="169" xfId="0" applyAlignment="1" applyFont="1" applyNumberFormat="1">
      <alignment horizontal="center" vertical="top"/>
    </xf>
    <xf borderId="48" fillId="2" fontId="33" numFmtId="0" xfId="0" applyBorder="1" applyFill="1" applyFont="1"/>
    <xf borderId="7" fillId="23" fontId="1" numFmtId="0" xfId="0" applyBorder="1" applyFill="1" applyFont="1"/>
    <xf borderId="1" fillId="0" fontId="5" numFmtId="176" xfId="0" applyAlignment="1" applyBorder="1" applyFont="1" applyNumberFormat="1">
      <alignment horizontal="center"/>
    </xf>
    <xf borderId="7" fillId="23" fontId="1" numFmtId="0" xfId="0" applyAlignment="1" applyBorder="1" applyFill="1" applyFont="1">
      <alignment horizontal="center"/>
    </xf>
    <xf borderId="0" fillId="0" fontId="5" numFmtId="172" xfId="0" applyFont="1" applyNumberFormat="1"/>
    <xf borderId="0" fillId="0" fontId="5" numFmtId="170" xfId="0" applyFont="1" applyNumberFormat="1"/>
    <xf borderId="1" fillId="0" fontId="5" numFmtId="176" xfId="0" applyAlignment="1" applyBorder="1" applyFont="1" applyNumberFormat="1">
      <alignment horizontal="center" vertical="top"/>
    </xf>
    <xf borderId="49" fillId="0" fontId="5" numFmtId="164" xfId="0" applyBorder="1" applyFont="1" applyNumberFormat="1"/>
    <xf borderId="50" fillId="2" fontId="33" numFmtId="0" xfId="0" applyBorder="1" applyFill="1" applyFont="1"/>
    <xf borderId="0" fillId="0" fontId="5" numFmtId="0" xfId="0" applyAlignment="1" applyFont="1">
      <alignment horizontal="center" vertical="center"/>
    </xf>
    <xf borderId="0" fillId="0" fontId="29" numFmtId="0" xfId="0" applyAlignment="1" applyFont="1">
      <alignment horizontal="center"/>
    </xf>
    <xf borderId="51" fillId="2" fontId="33" numFmtId="0" xfId="0" applyBorder="1" applyFill="1" applyFont="1"/>
    <xf borderId="52" fillId="0" fontId="29" numFmtId="0" xfId="0" applyBorder="1" applyFont="1"/>
    <xf borderId="52" fillId="0" fontId="5" numFmtId="0" xfId="0" applyBorder="1" applyFont="1"/>
    <xf borderId="52" fillId="0" fontId="5" numFmtId="0" xfId="0" applyAlignment="1" applyBorder="1" applyFont="1">
      <alignment horizontal="center"/>
    </xf>
    <xf borderId="53" fillId="0" fontId="5" numFmtId="164" xfId="0" applyBorder="1" applyFont="1" applyNumberFormat="1"/>
  </cellXfs>
  <cellStyles count="1">
    <cellStyle xfId="0" name="Normal" builtinId="0"/>
  </cellStyles>
  <dxfs count="4">
    <dxf>
      <font/>
      <fill>
        <patternFill patternType="solid">
          <fgColor rgb="FFFF0000"/>
          <bgColor rgb="FFFF0000"/>
        </patternFill>
      </fill>
      <border/>
    </dxf>
    <dxf>
      <font>
        <color rgb="FF9C0006"/>
      </font>
      <fill>
        <patternFill patternType="solid">
          <fgColor rgb="FFFFC7CE"/>
          <bgColor rgb="FFFFC7CE"/>
        </patternFill>
      </fill>
      <border/>
    </dxf>
    <dxf>
      <font/>
      <fill>
        <patternFill patternType="solid">
          <fgColor rgb="FF8EAADB"/>
          <bgColor rgb="FF8EAADB"/>
        </patternFill>
      </fill>
      <border/>
    </dxf>
    <dxf>
      <font/>
      <fill>
        <patternFill patternType="solid">
          <fgColor rgb="FF1E4E79"/>
          <bgColor rgb="FF1E4E7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5.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chartsheet" Target="chartsheets/sheet1.xml"/><Relationship Id="rId8" Type="http://schemas.openxmlformats.org/officeDocument/2006/relationships/worksheet" Target="worksheets/sheet4.xml"/><Relationship Id="rId11" Type="http://schemas.openxmlformats.org/officeDocument/2006/relationships/worksheet" Target="worksheets/sheet6.xml"/><Relationship Id="rId10" Type="http://schemas.openxmlformats.org/officeDocument/2006/relationships/chartsheet" Target="chartsheets/sheet2.xml"/><Relationship Id="rId13" Type="http://schemas.openxmlformats.org/officeDocument/2006/relationships/worksheet" Target="worksheets/sheet8.xml"/><Relationship Id="rId12" Type="http://schemas.openxmlformats.org/officeDocument/2006/relationships/worksheet" Target="worksheets/sheet7.xml"/><Relationship Id="rId15" Type="http://schemas.openxmlformats.org/officeDocument/2006/relationships/worksheet" Target="worksheets/sheet10.xml"/><Relationship Id="rId14" Type="http://schemas.openxmlformats.org/officeDocument/2006/relationships/worksheet" Target="worksheets/sheet9.xml"/><Relationship Id="rId17" Type="http://schemas.openxmlformats.org/officeDocument/2006/relationships/worksheet" Target="worksheets/sheet12.xml"/><Relationship Id="rId16" Type="http://schemas.openxmlformats.org/officeDocument/2006/relationships/worksheet" Target="worksheets/sheet11.xml"/><Relationship Id="rId19" Type="http://customschemas.google.com/relationships/workbookmetadata" Target="metadata"/><Relationship Id="rId18" Type="http://schemas.openxmlformats.org/officeDocument/2006/relationships/worksheet" Target="worksheets/sheet1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809017859172213"/>
          <c:y val="0.034536042119895576"/>
          <c:w val="0.9117342028882173"/>
          <c:h val="0.9058966326233154"/>
        </c:manualLayout>
      </c:layout>
      <c:barChart>
        <c:barDir val="col"/>
        <c:grouping val="stacked"/>
        <c:ser>
          <c:idx val="0"/>
          <c:order val="0"/>
          <c:tx>
            <c:v>Reclamation Protect Zone</c:v>
          </c:tx>
          <c:spPr>
            <a:solidFill>
              <a:schemeClr val="accent2"/>
            </a:solidFill>
            <a:ln cmpd="sng">
              <a:noFill/>
            </a:ln>
          </c:spPr>
          <c:dPt>
            <c:idx val="0"/>
            <c:spPr>
              <a:solidFill>
                <a:srgbClr val="ED7D31"/>
              </a:solidFill>
              <a:ln cmpd="sng">
                <a:noFill/>
              </a:ln>
            </c:spPr>
          </c:dPt>
          <c:dLbls>
            <c:numFmt formatCode="General" sourceLinked="1"/>
            <c:txPr>
              <a:bodyPr/>
              <a:lstStyle/>
              <a:p>
                <a:pPr lvl="0">
                  <a:defRPr b="1" i="0" sz="1300">
                    <a:latin typeface="+mn-lt"/>
                  </a:defRPr>
                </a:pPr>
              </a:p>
            </c:txPr>
            <c:showLegendKey val="0"/>
            <c:showVal val="1"/>
            <c:showCatName val="0"/>
            <c:showSerName val="0"/>
            <c:showPercent val="0"/>
            <c:showBubbleSize val="0"/>
          </c:dLbls>
          <c:cat>
            <c:strRef>
              <c:f>Master!$C$27:$G$27</c:f>
            </c:strRef>
          </c:cat>
          <c:val>
            <c:numRef>
              <c:f>Master!$C$142:$G$142</c:f>
              <c:numCache/>
            </c:numRef>
          </c:val>
        </c:ser>
        <c:ser>
          <c:idx val="1"/>
          <c:order val="1"/>
          <c:tx>
            <c:v>Tribal Nations</c:v>
          </c:tx>
          <c:spPr>
            <a:solidFill>
              <a:srgbClr val="0070C0"/>
            </a:solidFill>
            <a:ln cmpd="sng">
              <a:noFill/>
            </a:ln>
          </c:spPr>
          <c:dLbls>
            <c:numFmt formatCode="General" sourceLinked="1"/>
            <c:txPr>
              <a:bodyPr/>
              <a:lstStyle/>
              <a:p>
                <a:pPr lvl="0">
                  <a:defRPr b="1" i="0" sz="1300">
                    <a:latin typeface="+mn-lt"/>
                  </a:defRPr>
                </a:pPr>
              </a:p>
            </c:txPr>
            <c:showLegendKey val="0"/>
            <c:showVal val="1"/>
            <c:showCatName val="0"/>
            <c:showSerName val="0"/>
            <c:showPercent val="0"/>
            <c:showBubbleSize val="0"/>
          </c:dLbls>
          <c:cat>
            <c:strRef>
              <c:f>Master!$C$27:$G$27</c:f>
            </c:strRef>
          </c:cat>
          <c:val>
            <c:numRef>
              <c:f>Master!$C$147:$G$147</c:f>
              <c:numCache/>
            </c:numRef>
          </c:val>
        </c:ser>
        <c:ser>
          <c:idx val="2"/>
          <c:order val="2"/>
          <c:tx>
            <c:v>Mexico</c:v>
          </c:tx>
          <c:spPr>
            <a:solidFill>
              <a:srgbClr val="3C82C0"/>
            </a:solidFill>
            <a:ln cmpd="sng">
              <a:noFill/>
            </a:ln>
          </c:spPr>
          <c:dLbls>
            <c:numFmt formatCode="General" sourceLinked="1"/>
            <c:txPr>
              <a:bodyPr/>
              <a:lstStyle/>
              <a:p>
                <a:pPr lvl="0">
                  <a:defRPr b="1" i="0" sz="1300">
                    <a:latin typeface="+mn-lt"/>
                  </a:defRPr>
                </a:pPr>
              </a:p>
            </c:txPr>
            <c:showLegendKey val="0"/>
            <c:showVal val="1"/>
            <c:showCatName val="0"/>
            <c:showSerName val="0"/>
            <c:showPercent val="0"/>
            <c:showBubbleSize val="0"/>
          </c:dLbls>
          <c:cat>
            <c:strRef>
              <c:f>Master!$C$27:$G$27</c:f>
            </c:strRef>
          </c:cat>
          <c:val>
            <c:numRef>
              <c:f>Master!$C$146:$G$146</c:f>
              <c:numCache/>
            </c:numRef>
          </c:val>
        </c:ser>
        <c:ser>
          <c:idx val="3"/>
          <c:order val="3"/>
          <c:tx>
            <c:v>Nevada</c:v>
          </c:tx>
          <c:spPr>
            <a:solidFill>
              <a:srgbClr val="529BE7"/>
            </a:solidFill>
            <a:ln cmpd="sng">
              <a:noFill/>
            </a:ln>
          </c:spPr>
          <c:dLbls>
            <c:numFmt formatCode="General" sourceLinked="1"/>
            <c:txPr>
              <a:bodyPr/>
              <a:lstStyle/>
              <a:p>
                <a:pPr lvl="0">
                  <a:defRPr b="1" i="0" sz="1300">
                    <a:latin typeface="+mn-lt"/>
                  </a:defRPr>
                </a:pPr>
              </a:p>
            </c:txPr>
            <c:showLegendKey val="0"/>
            <c:showVal val="1"/>
            <c:showCatName val="0"/>
            <c:showSerName val="0"/>
            <c:showPercent val="0"/>
            <c:showBubbleSize val="0"/>
          </c:dLbls>
          <c:cat>
            <c:strRef>
              <c:f>Master!$C$27:$G$27</c:f>
            </c:strRef>
          </c:cat>
          <c:val>
            <c:numRef>
              <c:f>Master!$C$145:$G$145</c:f>
              <c:numCache/>
            </c:numRef>
          </c:val>
        </c:ser>
        <c:ser>
          <c:idx val="4"/>
          <c:order val="4"/>
          <c:tx>
            <c:v>Arizona</c:v>
          </c:tx>
          <c:spPr>
            <a:solidFill>
              <a:srgbClr val="7AB5F2"/>
            </a:solidFill>
            <a:ln cmpd="sng">
              <a:noFill/>
            </a:ln>
          </c:spPr>
          <c:dLbls>
            <c:numFmt formatCode="General" sourceLinked="1"/>
            <c:txPr>
              <a:bodyPr/>
              <a:lstStyle/>
              <a:p>
                <a:pPr lvl="0">
                  <a:defRPr b="1" i="0" sz="1300">
                    <a:latin typeface="+mn-lt"/>
                  </a:defRPr>
                </a:pPr>
              </a:p>
            </c:txPr>
            <c:showLegendKey val="0"/>
            <c:showVal val="1"/>
            <c:showCatName val="0"/>
            <c:showSerName val="0"/>
            <c:showPercent val="0"/>
            <c:showBubbleSize val="0"/>
          </c:dLbls>
          <c:cat>
            <c:strRef>
              <c:f>Master!$C$27:$G$27</c:f>
            </c:strRef>
          </c:cat>
          <c:val>
            <c:numRef>
              <c:f>Master!$C$144:$G$144</c:f>
              <c:numCache/>
            </c:numRef>
          </c:val>
        </c:ser>
        <c:ser>
          <c:idx val="5"/>
          <c:order val="5"/>
          <c:tx>
            <c:v>California</c:v>
          </c:tx>
          <c:spPr>
            <a:solidFill>
              <a:schemeClr val="accent5"/>
            </a:solidFill>
            <a:ln cmpd="sng">
              <a:noFill/>
            </a:ln>
          </c:spPr>
          <c:dLbls>
            <c:numFmt formatCode="General" sourceLinked="1"/>
            <c:txPr>
              <a:bodyPr/>
              <a:lstStyle/>
              <a:p>
                <a:pPr lvl="0">
                  <a:defRPr b="1" i="0" sz="1300">
                    <a:latin typeface="+mn-lt"/>
                  </a:defRPr>
                </a:pPr>
              </a:p>
            </c:txPr>
            <c:showLegendKey val="0"/>
            <c:showVal val="1"/>
            <c:showCatName val="0"/>
            <c:showSerName val="0"/>
            <c:showPercent val="0"/>
            <c:showBubbleSize val="0"/>
          </c:dLbls>
          <c:cat>
            <c:strRef>
              <c:f>Master!$C$27:$G$27</c:f>
            </c:strRef>
          </c:cat>
          <c:val>
            <c:numRef>
              <c:f>Master!$C$143:$G$143</c:f>
              <c:numCache/>
            </c:numRef>
          </c:val>
        </c:ser>
        <c:overlap val="100"/>
        <c:axId val="415811808"/>
        <c:axId val="2009236238"/>
      </c:barChart>
      <c:catAx>
        <c:axId val="4158118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1" i="0" sz="1500">
                <a:solidFill>
                  <a:srgbClr val="000000"/>
                </a:solidFill>
                <a:latin typeface="+mn-lt"/>
              </a:defRPr>
            </a:pPr>
          </a:p>
        </c:txPr>
        <c:crossAx val="2009236238"/>
      </c:catAx>
      <c:valAx>
        <c:axId val="2009236238"/>
        <c:scaling>
          <c:orientation val="minMax"/>
          <c:max val="7.0"/>
        </c:scaling>
        <c:delete val="0"/>
        <c:axPos val="l"/>
        <c:majorGridlines>
          <c:spPr>
            <a:ln>
              <a:solidFill>
                <a:srgbClr val="B7B7B7"/>
              </a:solidFill>
            </a:ln>
          </c:spPr>
        </c:majorGridlines>
        <c:title>
          <c:tx>
            <c:rich>
              <a:bodyPr/>
              <a:lstStyle/>
              <a:p>
                <a:pPr lvl="0">
                  <a:defRPr b="0" i="0" sz="1500">
                    <a:solidFill>
                      <a:srgbClr val="000000"/>
                    </a:solidFill>
                    <a:latin typeface="+mn-lt"/>
                  </a:defRPr>
                </a:pPr>
                <a:r>
                  <a:rPr b="0" i="0" sz="1500">
                    <a:solidFill>
                      <a:srgbClr val="000000"/>
                    </a:solidFill>
                    <a:latin typeface="+mn-lt"/>
                  </a:rPr>
                  <a:t>Lake Mead Active Storage (maf)</a:t>
                </a:r>
              </a:p>
            </c:rich>
          </c:tx>
          <c:overlay val="0"/>
        </c:title>
        <c:numFmt formatCode="General" sourceLinked="0"/>
        <c:majorTickMark val="none"/>
        <c:minorTickMark val="none"/>
        <c:tickLblPos val="nextTo"/>
        <c:spPr>
          <a:ln>
            <a:noFill/>
          </a:ln>
        </c:spPr>
        <c:txPr>
          <a:bodyPr/>
          <a:lstStyle/>
          <a:p>
            <a:pPr lvl="0">
              <a:defRPr b="1" i="0" sz="1400">
                <a:solidFill>
                  <a:srgbClr val="000000"/>
                </a:solidFill>
                <a:latin typeface="+mn-lt"/>
              </a:defRPr>
            </a:pPr>
          </a:p>
        </c:txPr>
        <c:crossAx val="415811808"/>
      </c:valAx>
    </c:plotArea>
    <c:legend>
      <c:legendPos val="t"/>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4616770630851775"/>
          <c:y val="0.03474065288295674"/>
          <c:w val="0.49272304580677656"/>
          <c:h val="0.7210262064720453"/>
        </c:manualLayout>
      </c:layout>
      <c:areaChart>
        <c:grouping val="stacked"/>
        <c:ser>
          <c:idx val="0"/>
          <c:order val="0"/>
          <c:tx>
            <c:v>    To Shared, Reserve</c:v>
          </c:tx>
          <c:spPr>
            <a:solidFill>
              <a:srgbClr val="000000">
                <a:alpha val="30000"/>
              </a:srgbClr>
            </a:solidFill>
            <a:ln cmpd="sng" w="19050">
              <a:noFill/>
            </a:ln>
          </c:spPr>
          <c:cat>
            <c:strRef>
              <c:f>SplitInflowForPlot!$C$39:$D$39</c:f>
            </c:strRef>
          </c:cat>
          <c:val>
            <c:numRef>
              <c:f>SplitInflowForPlot!$C$40:$D$40</c:f>
              <c:numCache/>
            </c:numRef>
          </c:val>
        </c:ser>
        <c:axId val="1676044721"/>
        <c:axId val="1034529728"/>
      </c:areaChart>
      <c:catAx>
        <c:axId val="1676044721"/>
        <c:scaling>
          <c:orientation val="minMax"/>
        </c:scaling>
        <c:delete val="0"/>
        <c:axPos val="b"/>
        <c:title>
          <c:tx>
            <c:rich>
              <a:bodyPr/>
              <a:lstStyle/>
              <a:p>
                <a:pPr lvl="0">
                  <a:defRPr b="0" i="0" sz="2800">
                    <a:solidFill>
                      <a:srgbClr val="000000"/>
                    </a:solidFill>
                    <a:latin typeface="+mn-lt"/>
                  </a:defRPr>
                </a:pPr>
                <a:r>
                  <a:rPr b="0" i="0" sz="2800">
                    <a:solidFill>
                      <a:srgbClr val="000000"/>
                    </a:solidFill>
                    <a:latin typeface="+mn-lt"/>
                  </a:rPr>
                  <a:t>Basin natural flow
(maf per year)</a:t>
                </a:r>
              </a:p>
            </c:rich>
          </c:tx>
          <c:overlay val="0"/>
        </c:title>
        <c:numFmt formatCode="0" sourceLinked="0"/>
        <c:majorTickMark val="out"/>
        <c:minorTickMark val="none"/>
        <c:spPr/>
        <c:txPr>
          <a:bodyPr/>
          <a:lstStyle/>
          <a:p>
            <a:pPr lvl="0">
              <a:defRPr b="0" i="0" sz="2000">
                <a:solidFill>
                  <a:srgbClr val="000000"/>
                </a:solidFill>
                <a:latin typeface="+mn-lt"/>
              </a:defRPr>
            </a:pPr>
          </a:p>
        </c:txPr>
        <c:crossAx val="1034529728"/>
      </c:catAx>
      <c:valAx>
        <c:axId val="1034529728"/>
        <c:scaling>
          <c:orientation val="minMax"/>
        </c:scaling>
        <c:delete val="0"/>
        <c:axPos val="l"/>
        <c:majorGridlines>
          <c:spPr>
            <a:ln>
              <a:solidFill>
                <a:srgbClr val="B7B7B7"/>
              </a:solidFill>
            </a:ln>
          </c:spPr>
        </c:majorGridlines>
        <c:title>
          <c:tx>
            <c:rich>
              <a:bodyPr/>
              <a:lstStyle/>
              <a:p>
                <a:pPr lvl="0">
                  <a:defRPr b="0" i="0" sz="2800">
                    <a:solidFill>
                      <a:srgbClr val="000000"/>
                    </a:solidFill>
                    <a:latin typeface="+mn-lt"/>
                  </a:defRPr>
                </a:pPr>
                <a:r>
                  <a:rPr b="0" i="0" sz="2800">
                    <a:solidFill>
                      <a:srgbClr val="000000"/>
                    </a:solidFill>
                    <a:latin typeface="+mn-lt"/>
                  </a:rPr>
                  <a:t>Split of Total Basin Inflow (maf)</a:t>
                </a:r>
              </a:p>
            </c:rich>
          </c:tx>
          <c:overlay val="0"/>
        </c:title>
        <c:numFmt formatCode="0" sourceLinked="0"/>
        <c:majorTickMark val="none"/>
        <c:minorTickMark val="none"/>
        <c:tickLblPos val="nextTo"/>
        <c:spPr>
          <a:ln>
            <a:noFill/>
          </a:ln>
        </c:spPr>
        <c:txPr>
          <a:bodyPr/>
          <a:lstStyle/>
          <a:p>
            <a:pPr lvl="0">
              <a:defRPr b="0" i="0" sz="2000">
                <a:solidFill>
                  <a:srgbClr val="000000"/>
                </a:solidFill>
                <a:latin typeface="+mn-lt"/>
              </a:defRPr>
            </a:pPr>
          </a:p>
        </c:txPr>
        <c:crossAx val="1676044721"/>
      </c:valAx>
    </c:plotArea>
    <c:legend>
      <c:legendPos val="r"/>
      <c:overlay val="0"/>
      <c:txPr>
        <a:bodyPr/>
        <a:lstStyle/>
        <a:p>
          <a:pPr lvl="0">
            <a:defRPr b="0" i="0" sz="18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v>Elevation-Storage</c:v>
          </c:tx>
          <c:spPr>
            <a:ln>
              <a:noFill/>
            </a:ln>
          </c:spPr>
          <c:marker>
            <c:symbol val="circle"/>
            <c:size val="7"/>
            <c:spPr>
              <a:solidFill>
                <a:schemeClr val="accent1"/>
              </a:solidFill>
              <a:ln cmpd="sng">
                <a:solidFill>
                  <a:schemeClr val="accent1"/>
                </a:solidFill>
              </a:ln>
            </c:spPr>
          </c:marker>
          <c:xVal>
            <c:numRef>
              <c:f>'Mead-Elevation-Area'!$A$5:$A$676</c:f>
            </c:numRef>
          </c:xVal>
          <c:yVal>
            <c:numRef>
              <c:f>'Mead-Elevation-Area'!$C$5:$C$676</c:f>
              <c:numCache/>
            </c:numRef>
          </c:yVal>
        </c:ser>
        <c:dLbls>
          <c:showLegendKey val="0"/>
          <c:showVal val="0"/>
          <c:showCatName val="0"/>
          <c:showSerName val="0"/>
          <c:showPercent val="0"/>
          <c:showBubbleSize val="0"/>
        </c:dLbls>
        <c:axId val="1155650503"/>
        <c:axId val="503822284"/>
      </c:scatterChart>
      <c:valAx>
        <c:axId val="1155650503"/>
        <c:scaling>
          <c:orientation val="minMax"/>
          <c:max val="1250.0"/>
        </c:scaling>
        <c:delete val="0"/>
        <c:axPos val="b"/>
        <c:title>
          <c:tx>
            <c:rich>
              <a:bodyPr/>
              <a:lstStyle/>
              <a:p>
                <a:pPr lvl="0">
                  <a:defRPr b="1" i="0" sz="1000">
                    <a:solidFill>
                      <a:srgbClr val="000000"/>
                    </a:solidFill>
                    <a:latin typeface="Calibri"/>
                  </a:defRPr>
                </a:pPr>
                <a:r>
                  <a:rPr b="1" i="0" sz="1000">
                    <a:solidFill>
                      <a:srgbClr val="000000"/>
                    </a:solidFill>
                    <a:latin typeface="Calibri"/>
                  </a:rPr>
                  <a:t>Elevation (ft))</a:t>
                </a:r>
              </a:p>
            </c:rich>
          </c:tx>
          <c:overlay val="0"/>
        </c:title>
        <c:numFmt formatCode="#,##0" sourceLinked="0"/>
        <c:majorTickMark val="out"/>
        <c:minorTickMark val="none"/>
        <c:tickLblPos val="nextTo"/>
        <c:spPr>
          <a:ln/>
        </c:spPr>
        <c:txPr>
          <a:bodyPr rot="0"/>
          <a:lstStyle/>
          <a:p>
            <a:pPr lvl="0">
              <a:defRPr b="0" i="0" sz="1000">
                <a:solidFill>
                  <a:srgbClr val="000000"/>
                </a:solidFill>
                <a:latin typeface="Calibri"/>
              </a:defRPr>
            </a:pPr>
          </a:p>
        </c:txPr>
        <c:crossAx val="503822284"/>
      </c:valAx>
      <c:valAx>
        <c:axId val="503822284"/>
        <c:scaling>
          <c:orientation val="minMax"/>
        </c:scaling>
        <c:delete val="0"/>
        <c:axPos val="l"/>
        <c:title>
          <c:tx>
            <c:rich>
              <a:bodyPr/>
              <a:lstStyle/>
              <a:p>
                <a:pPr lvl="0">
                  <a:defRPr b="1" i="0" sz="1000">
                    <a:solidFill>
                      <a:srgbClr val="000000"/>
                    </a:solidFill>
                    <a:latin typeface="Calibri"/>
                  </a:defRPr>
                </a:pPr>
                <a:r>
                  <a:rPr b="1" i="0" sz="1000">
                    <a:solidFill>
                      <a:srgbClr val="000000"/>
                    </a:solidFill>
                    <a:latin typeface="Calibri"/>
                  </a:rPr>
                  <a:t>Total Volume (ac-ft)</a:t>
                </a:r>
              </a:p>
            </c:rich>
          </c:tx>
          <c:overlay val="0"/>
        </c:title>
        <c:numFmt formatCode="_(* #,##0_);_(* \(#,##0\);_(* &quot;-&quot;??_);_(@_)" sourceLinked="0"/>
        <c:majorTickMark val="out"/>
        <c:minorTickMark val="none"/>
        <c:tickLblPos val="nextTo"/>
        <c:spPr>
          <a:ln/>
        </c:spPr>
        <c:txPr>
          <a:bodyPr rot="0"/>
          <a:lstStyle/>
          <a:p>
            <a:pPr lvl="0">
              <a:defRPr b="0" i="0" sz="1000">
                <a:solidFill>
                  <a:srgbClr val="000000"/>
                </a:solidFill>
                <a:latin typeface="Calibri"/>
              </a:defRPr>
            </a:pPr>
          </a:p>
        </c:txPr>
        <c:crossAx val="1155650503"/>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v>Storage-Area</c:v>
          </c:tx>
          <c:spPr>
            <a:ln>
              <a:noFill/>
            </a:ln>
          </c:spPr>
          <c:marker>
            <c:symbol val="circle"/>
            <c:size val="7"/>
            <c:spPr>
              <a:solidFill>
                <a:schemeClr val="accent1"/>
              </a:solidFill>
              <a:ln cmpd="sng">
                <a:solidFill>
                  <a:schemeClr val="accent1"/>
                </a:solidFill>
              </a:ln>
            </c:spPr>
          </c:marker>
          <c:xVal>
            <c:numRef>
              <c:f>'Mead-Elevation-Area'!$C$5:$C$688</c:f>
            </c:numRef>
          </c:xVal>
          <c:yVal>
            <c:numRef>
              <c:f>'Mead-Elevation-Area'!$D$5:$D$678</c:f>
              <c:numCache/>
            </c:numRef>
          </c:yVal>
        </c:ser>
        <c:dLbls>
          <c:showLegendKey val="0"/>
          <c:showVal val="0"/>
          <c:showCatName val="0"/>
          <c:showSerName val="0"/>
          <c:showPercent val="0"/>
          <c:showBubbleSize val="0"/>
        </c:dLbls>
        <c:axId val="1545029887"/>
        <c:axId val="342489779"/>
      </c:scatterChart>
      <c:valAx>
        <c:axId val="1545029887"/>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Total Storage (Acre Feet)</a:t>
                </a:r>
              </a:p>
            </c:rich>
          </c:tx>
          <c:overlay val="0"/>
        </c:title>
        <c:numFmt formatCode="#,##0" sourceLinked="0"/>
        <c:majorTickMark val="out"/>
        <c:minorTickMark val="none"/>
        <c:tickLblPos val="nextTo"/>
        <c:spPr>
          <a:ln/>
        </c:spPr>
        <c:txPr>
          <a:bodyPr rot="0"/>
          <a:lstStyle/>
          <a:p>
            <a:pPr lvl="0">
              <a:defRPr b="0" i="0" sz="1000">
                <a:solidFill>
                  <a:srgbClr val="000000"/>
                </a:solidFill>
                <a:latin typeface="Calibri"/>
              </a:defRPr>
            </a:pPr>
          </a:p>
        </c:txPr>
        <c:crossAx val="342489779"/>
        <c:majorUnit val="1.0E7"/>
      </c:valAx>
      <c:valAx>
        <c:axId val="342489779"/>
        <c:scaling>
          <c:orientation val="minMax"/>
        </c:scaling>
        <c:delete val="0"/>
        <c:axPos val="l"/>
        <c:title>
          <c:tx>
            <c:rich>
              <a:bodyPr/>
              <a:lstStyle/>
              <a:p>
                <a:pPr lvl="0">
                  <a:defRPr b="1" i="0" sz="1000">
                    <a:solidFill>
                      <a:srgbClr val="000000"/>
                    </a:solidFill>
                    <a:latin typeface="Calibri"/>
                  </a:defRPr>
                </a:pPr>
                <a:r>
                  <a:rPr b="1" i="0" sz="1000">
                    <a:solidFill>
                      <a:srgbClr val="000000"/>
                    </a:solidFill>
                    <a:latin typeface="Calibri"/>
                  </a:rPr>
                  <a:t>Area (acres)</a:t>
                </a:r>
              </a:p>
            </c:rich>
          </c:tx>
          <c:overlay val="0"/>
        </c:title>
        <c:numFmt formatCode="_(* #,##0_);_(* \(#,##0\);_(* &quot;-&quot;??_);_(@_)" sourceLinked="0"/>
        <c:majorTickMark val="out"/>
        <c:minorTickMark val="none"/>
        <c:tickLblPos val="nextTo"/>
        <c:spPr>
          <a:ln/>
        </c:spPr>
        <c:txPr>
          <a:bodyPr rot="0"/>
          <a:lstStyle/>
          <a:p>
            <a:pPr lvl="0">
              <a:defRPr b="0" i="0" sz="1000">
                <a:solidFill>
                  <a:srgbClr val="000000"/>
                </a:solidFill>
                <a:latin typeface="Calibri"/>
              </a:defRPr>
            </a:pPr>
          </a:p>
        </c:txPr>
        <c:crossAx val="1545029887"/>
      </c:valAx>
    </c:plotArea>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1.png"/><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314325</xdr:colOff>
      <xdr:row>16</xdr:row>
      <xdr:rowOff>9525</xdr:rowOff>
    </xdr:from>
    <xdr:ext cx="5524500" cy="11525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428625</xdr:colOff>
      <xdr:row>14</xdr:row>
      <xdr:rowOff>38100</xdr:rowOff>
    </xdr:from>
    <xdr:ext cx="2695575" cy="19335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819150</xdr:colOff>
      <xdr:row>17</xdr:row>
      <xdr:rowOff>323850</xdr:rowOff>
    </xdr:from>
    <xdr:ext cx="3190875" cy="34004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123825</xdr:colOff>
      <xdr:row>12</xdr:row>
      <xdr:rowOff>47625</xdr:rowOff>
    </xdr:from>
    <xdr:ext cx="4114800" cy="2838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439069194" name="Chart 1"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484513442" name="Chart 2"/>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3</xdr:row>
      <xdr:rowOff>19050</xdr:rowOff>
    </xdr:from>
    <xdr:ext cx="4610100" cy="13811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19050</xdr:colOff>
      <xdr:row>3</xdr:row>
      <xdr:rowOff>28575</xdr:rowOff>
    </xdr:from>
    <xdr:ext cx="4800600" cy="14001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561975</xdr:colOff>
      <xdr:row>14</xdr:row>
      <xdr:rowOff>104775</xdr:rowOff>
    </xdr:from>
    <xdr:ext cx="4714875" cy="3343275"/>
    <xdr:graphicFrame>
      <xdr:nvGraphicFramePr>
        <xdr:cNvPr id="2065476904"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581025</xdr:colOff>
      <xdr:row>31</xdr:row>
      <xdr:rowOff>142875</xdr:rowOff>
    </xdr:from>
    <xdr:ext cx="4686300" cy="3343275"/>
    <xdr:graphicFrame>
      <xdr:nvGraphicFramePr>
        <xdr:cNvPr id="1263952381" name="Chart 4"/>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dzeke/ColoradoRiverCollaborate/blob/main/LakeMeadWaterBankDivideInflow/ImmersiveModelLakeMeadDivideInflow-LetsStart.pdf" TargetMode="External"/><Relationship Id="rId2" Type="http://schemas.openxmlformats.org/officeDocument/2006/relationships/hyperlink" Target="https://github.com/dzeke/ColoradoRiverCollaborate/blob/main/LakeMeadWaterBankDivideInflow/ModelGuide/ModelGuide-LakeMeadWaterBank.md" TargetMode="External"/><Relationship Id="rId3" Type="http://schemas.openxmlformats.org/officeDocument/2006/relationships/hyperlink" Target="about:blank" TargetMode="External"/><Relationship Id="rId4" Type="http://schemas.openxmlformats.org/officeDocument/2006/relationships/hyperlink" Target="http://rosenberg.usu.edu/" TargetMode="External"/><Relationship Id="rId5" Type="http://schemas.openxmlformats.org/officeDocument/2006/relationships/hyperlink" Target="mailto:A02369941@aggies.usu.edu" TargetMode="External"/><Relationship Id="rId6" Type="http://schemas.openxmlformats.org/officeDocument/2006/relationships/hyperlink" Target="mailto:eporse@ucanr.edu" TargetMode="External"/><Relationship Id="rId7" Type="http://schemas.openxmlformats.org/officeDocument/2006/relationships/hyperlink" Target="https://github.com/dzeke/ColoradoRiverCollaborate/tree/main/LakeMeadWaterBankDivideInflow"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github.com/dzeke/ColoradoRiverCollaborate/blob/main/LakeMeadWaterBankDivideInflow/ModelGuide/ModelGuide-LakeMeadWaterBank.md" TargetMode="External"/><Relationship Id="rId42" Type="http://schemas.openxmlformats.org/officeDocument/2006/relationships/hyperlink" Target="https://github.com/dzeke/ColoradoRiverCollaborate/blob/main/LakeMeadWaterBankDivideInflow/ModelGuide/ModelGuide-LakeMeadWaterBank.md" TargetMode="External"/><Relationship Id="rId41" Type="http://schemas.openxmlformats.org/officeDocument/2006/relationships/hyperlink" Target="https://github.com/dzeke/ColoradoRiverCollaborate/blob/main/LakeMeadWaterBankDivideInflow/ModelGuide/ModelGuide-LakeMeadWaterBank.md" TargetMode="External"/><Relationship Id="rId44" Type="http://schemas.openxmlformats.org/officeDocument/2006/relationships/hyperlink" Target="https://github.com/dzeke/ColoradoRiverCollaborate/blob/main/LakeMeadWaterBankDivideInflow/ModelGuide/ModelGuide-LakeMeadWaterBank.md" TargetMode="External"/><Relationship Id="rId43" Type="http://schemas.openxmlformats.org/officeDocument/2006/relationships/hyperlink" Target="https://github.com/dzeke/ColoradoRiverCollaborate/blob/main/LakeMeadWaterBankDivideInflow/ModelGuide/ModelGuide-LakeMeadWaterBank.md" TargetMode="External"/><Relationship Id="rId46" Type="http://schemas.openxmlformats.org/officeDocument/2006/relationships/hyperlink" Target="https://github.com/dzeke/ColoradoRiverCollaborate/blob/main/LakeMeadWaterBankDivideInflow/ModelGuide/ModelGuide-LakeMeadWaterBank.md" TargetMode="External"/><Relationship Id="rId45" Type="http://schemas.openxmlformats.org/officeDocument/2006/relationships/hyperlink" Target="https://github.com/dzeke/ColoradoRiverCollaborate/blob/main/LakeMeadWaterBankDivideInflow/ModelGuide/ModelGuide-LakeMeadWaterBank.md" TargetMode="External"/><Relationship Id="rId1" Type="http://schemas.openxmlformats.org/officeDocument/2006/relationships/hyperlink" Target="https://github.com/ImmersiveModelsColoradoRiver/LakeMeadDivideInflow/blob/main/ModelGuide/ModelGuide-LakeMeadWaterBank.md" TargetMode="External"/><Relationship Id="rId2" Type="http://schemas.openxmlformats.org/officeDocument/2006/relationships/hyperlink" Target="https://github.com/dzeke/ColoradoRiverCollaborate/blob/main/LakeMeadWaterBankDivideInflow/ModelGuide/ModelGuide-LakeMeadWaterBank.md" TargetMode="External"/><Relationship Id="rId3" Type="http://schemas.openxmlformats.org/officeDocument/2006/relationships/hyperlink" Target="https://github.com/dzeke/ColoradoRiverCollaborate/blob/main/LakeMeadWaterBankDivideInflow/ModelGuide/ModelGuide-LakeMeadWaterBank.md" TargetMode="External"/><Relationship Id="rId4" Type="http://schemas.openxmlformats.org/officeDocument/2006/relationships/hyperlink" Target="https://github.com/dzeke/ColoradoRiverCollaborate/blob/main/LakeMeadWaterBankDivideInflow/ModelGuide/ModelGuide-LakeMeadWaterBank.md" TargetMode="External"/><Relationship Id="rId9" Type="http://schemas.openxmlformats.org/officeDocument/2006/relationships/hyperlink" Target="https://github.com/dzeke/ColoradoRiverCollaborate/blob/main/LakeMeadWaterBankDivideInflow/ModelGuide/ModelGuide-LakeMeadWaterBank.md" TargetMode="External"/><Relationship Id="rId48" Type="http://schemas.openxmlformats.org/officeDocument/2006/relationships/hyperlink" Target="https://github.com/dzeke/ColoradoRiverCollaborate/blob/main/LakeMeadWaterBankDivideInflow/ModelGuide/ModelGuide-LakeMeadWaterBank.md" TargetMode="External"/><Relationship Id="rId47" Type="http://schemas.openxmlformats.org/officeDocument/2006/relationships/hyperlink" Target="https://github.com/dzeke/ColoradoRiverCollaborate/blob/main/LakeMeadWaterBankDivideInflow/ModelGuide/ModelGuide-LakeMeadWaterBank.md" TargetMode="External"/><Relationship Id="rId49" Type="http://schemas.openxmlformats.org/officeDocument/2006/relationships/hyperlink" Target="https://github.com/dzeke/ColoradoRiverCollaborate/blob/main/LakeMeadWaterBankDivideInflow/ModelGuide/ModelGuide-LakeMeadWaterBank.md" TargetMode="External"/><Relationship Id="rId5" Type="http://schemas.openxmlformats.org/officeDocument/2006/relationships/hyperlink" Target="https://www.usbr.gov/lc/region/g4000/hourly/mead-elv.html" TargetMode="External"/><Relationship Id="rId6" Type="http://schemas.openxmlformats.org/officeDocument/2006/relationships/hyperlink" Target="https://github.com/dzeke/ColoradoRiverCollaborate/blob/main/LakeMeadWaterBankDivideInflow/ModelGuide/ModelGuide-LakeMeadWaterBank.md" TargetMode="External"/><Relationship Id="rId7" Type="http://schemas.openxmlformats.org/officeDocument/2006/relationships/hyperlink" Target="https://github.com/dzeke/ColoradoRiverCollaborate/blob/main/LakeMeadWaterBankDivideInflow/ModelGuide/ModelGuide-LakeMeadWaterBank.md" TargetMode="External"/><Relationship Id="rId8" Type="http://schemas.openxmlformats.org/officeDocument/2006/relationships/hyperlink" Target="https://github.com/dzeke/ColoradoRiverCollaborate/blob/main/LakeMeadWaterBankDivideInflow/ModelGuide/ModelGuide-LakeMeadWaterBank.md" TargetMode="External"/><Relationship Id="rId72" Type="http://schemas.openxmlformats.org/officeDocument/2006/relationships/drawing" Target="../drawings/drawing3.xml"/><Relationship Id="rId31" Type="http://schemas.openxmlformats.org/officeDocument/2006/relationships/hyperlink" Target="https://github.com/dzeke/ColoradoRiverCollaborate/blob/main/LakeMeadWaterBankDivideInflow/ModelGuide/ModelGuide-LakeMeadWaterBank.md" TargetMode="External"/><Relationship Id="rId30" Type="http://schemas.openxmlformats.org/officeDocument/2006/relationships/hyperlink" Target="https://github.com/dzeke/ColoradoRiverCollaborate/blob/main/LakeMeadWaterBankDivideInflow/ModelGuide/ModelGuide-LakeMeadWaterBank.md" TargetMode="External"/><Relationship Id="rId33" Type="http://schemas.openxmlformats.org/officeDocument/2006/relationships/hyperlink" Target="https://github.com/dzeke/ColoradoRiverCollaborate/blob/main/LakeMeadWaterBankDivideInflow/ModelGuide/ModelGuide-LakeMeadWaterBank.md" TargetMode="External"/><Relationship Id="rId32" Type="http://schemas.openxmlformats.org/officeDocument/2006/relationships/hyperlink" Target="https://github.com/dzeke/ColoradoRiverCollaborate/blob/main/LakeMeadWaterBankDivideInflow/ModelGuide/ModelGuide-LakeMeadWaterBank.md" TargetMode="External"/><Relationship Id="rId35" Type="http://schemas.openxmlformats.org/officeDocument/2006/relationships/hyperlink" Target="https://github.com/dzeke/ColoradoRiverCollaborate/blob/main/LakeMeadWaterBankDivideInflow/ModelGuide/ModelGuide-LakeMeadWaterBank.md" TargetMode="External"/><Relationship Id="rId34" Type="http://schemas.openxmlformats.org/officeDocument/2006/relationships/hyperlink" Target="https://github.com/dzeke/ColoradoRiverCollaborate/blob/main/LakeMeadWaterBankDivideInflow/ModelGuide/ModelGuide-LakeMeadWaterBank.md" TargetMode="External"/><Relationship Id="rId71" Type="http://schemas.openxmlformats.org/officeDocument/2006/relationships/hyperlink" Target="https://github.com/dzeke/ColoradoRiverCollaborate/blob/main/LakeMeadWaterBankDivideInflow/ModelGuide/ModelGuide-LakeMeadWaterBank.md" TargetMode="External"/><Relationship Id="rId70" Type="http://schemas.openxmlformats.org/officeDocument/2006/relationships/hyperlink" Target="https://github.com/dzeke/ColoradoRiverCollaborate/blob/main/LakeMeadWaterBankDivideInflow/ModelGuide/ModelGuide-LakeMeadWaterBank.md" TargetMode="External"/><Relationship Id="rId37" Type="http://schemas.openxmlformats.org/officeDocument/2006/relationships/hyperlink" Target="https://github.com/dzeke/ColoradoRiverCollaborate/blob/main/LakeMeadWaterBankDivideInflow/ModelGuide/ModelGuide-LakeMeadWaterBank.md" TargetMode="External"/><Relationship Id="rId36" Type="http://schemas.openxmlformats.org/officeDocument/2006/relationships/hyperlink" Target="https://github.com/dzeke/ColoradoRiverCollaborate/blob/main/LakeMeadWaterBankDivideInflow/ModelGuide/ModelGuide-LakeMeadWaterBank.md" TargetMode="External"/><Relationship Id="rId39" Type="http://schemas.openxmlformats.org/officeDocument/2006/relationships/hyperlink" Target="https://github.com/dzeke/ColoradoRiverCollaborate/blob/main/LakeMeadWaterBankDivideInflow/ModelGuide/ModelGuide-LakeMeadWaterBank.md" TargetMode="External"/><Relationship Id="rId38" Type="http://schemas.openxmlformats.org/officeDocument/2006/relationships/hyperlink" Target="https://github.com/dzeke/ColoradoRiverCollaborate/blob/main/LakeMeadWaterBankDivideInflow/ModelGuide/ModelGuide-LakeMeadWaterBank.md" TargetMode="External"/><Relationship Id="rId62" Type="http://schemas.openxmlformats.org/officeDocument/2006/relationships/hyperlink" Target="https://github.com/dzeke/ColoradoRiverCollaborate/blob/main/LakeMeadWaterBankDivideInflow/ModelGuide/ModelGuide-LakeMeadWaterBank.md" TargetMode="External"/><Relationship Id="rId61" Type="http://schemas.openxmlformats.org/officeDocument/2006/relationships/hyperlink" Target="https://github.com/dzeke/ColoradoRiverCollaborate/blob/main/LakeMeadWaterBankDivideInflow/ModelGuide/ModelGuide-LakeMeadWaterBank.md" TargetMode="External"/><Relationship Id="rId20" Type="http://schemas.openxmlformats.org/officeDocument/2006/relationships/hyperlink" Target="https://github.com/dzeke/ColoradoRiverCollaborate/blob/main/LakeMeadWaterBankDivideInflow/ModelGuide/ModelGuide-LakeMeadWaterBank.md" TargetMode="External"/><Relationship Id="rId64" Type="http://schemas.openxmlformats.org/officeDocument/2006/relationships/hyperlink" Target="https://github.com/dzeke/ColoradoRiverCollaborate/blob/main/LakeMeadWaterBankDivideInflow/ModelGuide/ModelGuide-LakeMeadWaterBank.md" TargetMode="External"/><Relationship Id="rId63" Type="http://schemas.openxmlformats.org/officeDocument/2006/relationships/hyperlink" Target="https://github.com/dzeke/ColoradoRiverCollaborate/blob/main/LakeMeadWaterBankDivideInflow/ModelGuide/ModelGuide-LakeMeadWaterBank.md" TargetMode="External"/><Relationship Id="rId22" Type="http://schemas.openxmlformats.org/officeDocument/2006/relationships/hyperlink" Target="https://github.com/dzeke/ColoradoRiverCollaborate/blob/main/LakeMeadWaterBankDivideInflow/ModelGuide/ModelGuide-LakeMeadWaterBank.md" TargetMode="External"/><Relationship Id="rId66" Type="http://schemas.openxmlformats.org/officeDocument/2006/relationships/hyperlink" Target="https://github.com/dzeke/ColoradoRiverCollaborate/blob/main/LakeMeadWaterBankDivideInflow/ModelGuide/ModelGuide-LakeMeadWaterBank.md" TargetMode="External"/><Relationship Id="rId21" Type="http://schemas.openxmlformats.org/officeDocument/2006/relationships/hyperlink" Target="https://github.com/ImmersiveModelsColoradoRiver/LakeMeadDivideInflow/blob/main/ModelGuide/ModelGuide-LakeMeadWaterBank.md" TargetMode="External"/><Relationship Id="rId65" Type="http://schemas.openxmlformats.org/officeDocument/2006/relationships/hyperlink" Target="https://github.com/dzeke/ColoradoRiverCollaborate/blob/main/LakeMeadWaterBankDivideInflow/ModelGuide/ModelGuide-LakeMeadWaterBank.md" TargetMode="External"/><Relationship Id="rId24" Type="http://schemas.openxmlformats.org/officeDocument/2006/relationships/hyperlink" Target="https://github.com/dzeke/ColoradoRiverCollaborate/blob/main/LakeMeadWaterBankDivideInflow/ModelGuide/ModelGuide-LakeMeadWaterBank.md" TargetMode="External"/><Relationship Id="rId68" Type="http://schemas.openxmlformats.org/officeDocument/2006/relationships/hyperlink" Target="https://github.com/dzeke/ColoradoRiverCollaborate/blob/main/LakeMeadWaterBankDivideInflow/ModelGuide/ModelGuide-LakeMeadWaterBank.md" TargetMode="External"/><Relationship Id="rId23" Type="http://schemas.openxmlformats.org/officeDocument/2006/relationships/hyperlink" Target="https://github.com/dzeke/ColoradoRiverCollaborate/blob/main/LakeMeadWaterBankDivideInflow/ModelGuide/ModelGuide-LakeMeadWaterBank.md" TargetMode="External"/><Relationship Id="rId67" Type="http://schemas.openxmlformats.org/officeDocument/2006/relationships/hyperlink" Target="https://github.com/dzeke/ColoradoRiverCollaborate/blob/main/LakeMeadWaterBankDivideInflow/ModelGuide/ModelGuide-LakeMeadWaterBank.md" TargetMode="External"/><Relationship Id="rId60" Type="http://schemas.openxmlformats.org/officeDocument/2006/relationships/hyperlink" Target="https://github.com/dzeke/ColoradoRiverCollaborate/blob/main/LakeMeadWaterBankDivideInflow/ModelGuide/ModelGuide-LakeMeadWaterBank.md" TargetMode="External"/><Relationship Id="rId26" Type="http://schemas.openxmlformats.org/officeDocument/2006/relationships/hyperlink" Target="https://github.com/dzeke/ColoradoRiverCollaborate/blob/main/LakeMeadWaterBankDivideInflow/ModelGuide/ModelGuide-LakeMeadWaterBank.md" TargetMode="External"/><Relationship Id="rId25" Type="http://schemas.openxmlformats.org/officeDocument/2006/relationships/hyperlink" Target="https://github.com/dzeke/ColoradoRiverCollaborate/blob/main/LakeMeadWaterBankDivideInflow/ModelGuide/ModelGuide-LakeMeadWaterBank.md" TargetMode="External"/><Relationship Id="rId69" Type="http://schemas.openxmlformats.org/officeDocument/2006/relationships/hyperlink" Target="https://github.com/dzeke/ColoradoRiverCollaborate/blob/main/LakeMeadWaterBankDivideInflow/ModelGuide/ModelGuide-LakeMeadWaterBank.md" TargetMode="External"/><Relationship Id="rId28" Type="http://schemas.openxmlformats.org/officeDocument/2006/relationships/hyperlink" Target="https://github.com/dzeke/ColoradoRiverCollaborate/blob/main/LakeMeadWaterBankDivideInflow/ModelGuide/ModelGuide-LakeMeadWaterBank.md" TargetMode="External"/><Relationship Id="rId27" Type="http://schemas.openxmlformats.org/officeDocument/2006/relationships/hyperlink" Target="https://github.com/dzeke/ColoradoRiverCollaborate/blob/main/LakeMeadWaterBankDivideInflow/ModelGuide/ModelGuide-LakeMeadWaterBank.md" TargetMode="External"/><Relationship Id="rId29" Type="http://schemas.openxmlformats.org/officeDocument/2006/relationships/hyperlink" Target="https://github.com/dzeke/ColoradoRiverCollaborate/blob/main/LakeMeadWaterBankDivideInflow/ModelGuide/ModelGuide-LakeMeadWaterBank.md" TargetMode="External"/><Relationship Id="rId51" Type="http://schemas.openxmlformats.org/officeDocument/2006/relationships/hyperlink" Target="https://github.com/dzeke/ColoradoRiverCollaborate/blob/main/LakeMeadWaterBankDivideInflow/ModelGuide/ModelGuide-LakeMeadWaterBank.md" TargetMode="External"/><Relationship Id="rId50" Type="http://schemas.openxmlformats.org/officeDocument/2006/relationships/hyperlink" Target="https://github.com/dzeke/ColoradoRiverCollaborate/blob/main/LakeMeadWaterBankDivideInflow/ModelGuide/ModelGuide-LakeMeadWaterBank.md" TargetMode="External"/><Relationship Id="rId53" Type="http://schemas.openxmlformats.org/officeDocument/2006/relationships/hyperlink" Target="https://github.com/dzeke/ColoradoRiverCollaborate/blob/main/LakeMeadWaterBankDivideInflow/ModelGuide/ModelGuide-LakeMeadWaterBank.md" TargetMode="External"/><Relationship Id="rId52" Type="http://schemas.openxmlformats.org/officeDocument/2006/relationships/hyperlink" Target="https://github.com/dzeke/ColoradoRiverCollaborate/blob/main/LakeMeadWaterBankDivideInflow/ModelGuide/ModelGuide-LakeMeadWaterBank.md" TargetMode="External"/><Relationship Id="rId11" Type="http://schemas.openxmlformats.org/officeDocument/2006/relationships/hyperlink" Target="https://github.com/dzeke/ColoradoRiverCollaborate/blob/main/LakeMeadWaterBankDivideInflow/ModelGuide/ModelGuide-LakeMeadWaterBank.md" TargetMode="External"/><Relationship Id="rId55" Type="http://schemas.openxmlformats.org/officeDocument/2006/relationships/hyperlink" Target="https://github.com/dzeke/ColoradoRiverCollaborate/blob/main/LakeMeadWaterBankDivideInflow/ModelGuide/ModelGuide-LakeMeadWaterBank.md" TargetMode="External"/><Relationship Id="rId10" Type="http://schemas.openxmlformats.org/officeDocument/2006/relationships/hyperlink" Target="https://github.com/dzeke/ColoradoRiverCollaborate/blob/main/LakeMeadWaterBankDivideInflow/ModelGuide/ModelGuide-LakeMeadWaterBank.md" TargetMode="External"/><Relationship Id="rId54" Type="http://schemas.openxmlformats.org/officeDocument/2006/relationships/hyperlink" Target="https://github.com/dzeke/ColoradoRiverCollaborate/blob/main/LakeMeadWaterBankDivideInflow/ModelGuide/ModelGuide-LakeMeadWaterBank.md" TargetMode="External"/><Relationship Id="rId13" Type="http://schemas.openxmlformats.org/officeDocument/2006/relationships/hyperlink" Target="https://github.com/ImmersiveModelsColoradoRiver/LakeMeadDivideInflow/blob/main/ModelGuide/ModelGuide-LakeMeadWaterBank.md" TargetMode="External"/><Relationship Id="rId57" Type="http://schemas.openxmlformats.org/officeDocument/2006/relationships/hyperlink" Target="https://github.com/dzeke/ColoradoRiverCollaborate/blob/main/LakeMeadWaterBankDivideInflow/ModelGuide/ModelGuide-LakeMeadWaterBank.md" TargetMode="External"/><Relationship Id="rId12" Type="http://schemas.openxmlformats.org/officeDocument/2006/relationships/hyperlink" Target="https://github.com/dzeke/ColoradoRiverCollaborate/blob/main/LakeMeadWaterBankDivideInflow/ModelGuide/ModelGuide-LakeMeadWaterBank.md" TargetMode="External"/><Relationship Id="rId56" Type="http://schemas.openxmlformats.org/officeDocument/2006/relationships/hyperlink" Target="https://github.com/dzeke/ColoradoRiverCollaborate/blob/main/LakeMeadWaterBankDivideInflow/ModelGuide/ModelGuide-LakeMeadWaterBank.md" TargetMode="External"/><Relationship Id="rId15" Type="http://schemas.openxmlformats.org/officeDocument/2006/relationships/hyperlink" Target="https://github.com/dzeke/ColoradoRiverCoding/blob/main/ModelMusings/Support/ModelGuide/ModelGuide-CombinedLakePowellLakeMead.md" TargetMode="External"/><Relationship Id="rId59" Type="http://schemas.openxmlformats.org/officeDocument/2006/relationships/hyperlink" Target="https://github.com/dzeke/ColoradoRiverCollaborate/blob/main/LakeMeadWaterBankDivideInflow/ModelGuide/ModelGuide-LakeMeadWaterBank.md" TargetMode="External"/><Relationship Id="rId14" Type="http://schemas.openxmlformats.org/officeDocument/2006/relationships/hyperlink" Target="https://github.com/dzeke/ColoradoRiverCoding/blob/main/ModelMusings/Support/ModelGuide/ModelGuide-CombinedLakePowellLakeMead.md" TargetMode="External"/><Relationship Id="rId58" Type="http://schemas.openxmlformats.org/officeDocument/2006/relationships/hyperlink" Target="https://github.com/dzeke/ColoradoRiverCollaborate/blob/main/LakeMeadWaterBankDivideInflow/ModelGuide/ModelGuide-LakeMeadWaterBank.md" TargetMode="External"/><Relationship Id="rId17" Type="http://schemas.openxmlformats.org/officeDocument/2006/relationships/hyperlink" Target="https://github.com/dzeke/ColoradoRiverCollaborate/blob/main/LakeMeadWaterBankDivideInflow/ModelGuide/ModelGuide-LakeMeadWaterBank.md" TargetMode="External"/><Relationship Id="rId16" Type="http://schemas.openxmlformats.org/officeDocument/2006/relationships/hyperlink" Target="https://github.com/dzeke/ColoradoRiverCoding/blob/main/ModelMusings/Support/ModelGuide/ModelGuide-CombinedLakePowellLakeMead.md" TargetMode="External"/><Relationship Id="rId19" Type="http://schemas.openxmlformats.org/officeDocument/2006/relationships/hyperlink" Target="https://github.com/dzeke/ColoradoRiverCollaborate/blob/main/LakeMeadWaterBankDivideInflow/ModelGuide/ModelGuide-LakeMeadWaterBank.md" TargetMode="External"/><Relationship Id="rId18" Type="http://schemas.openxmlformats.org/officeDocument/2006/relationships/hyperlink" Target="https://github.com/dzeke/ColoradoRiverCollaborate/blob/main/LakeMeadWaterBankDivideInflow/ModelGuide/ModelGuide-LakeMeadWaterBank.md"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dzeke/ColoradoRiverCoding/blob/main/ModelMusings/Support/ModelGuide/ModelGuide-CombinedLakePowellLakeMead.md" TargetMode="External"/><Relationship Id="rId2" Type="http://schemas.openxmlformats.org/officeDocument/2006/relationships/hyperlink" Target="https://github.com/dzeke/ColoradoRiverCoding/blob/main/ModelMusings/Support/ModelGuide/ModelGuide-CombinedLakePowellLakeMead.md" TargetMode="External"/><Relationship Id="rId3" Type="http://schemas.openxmlformats.org/officeDocument/2006/relationships/hyperlink" Target="https://github.com/dzeke/ColoradoRiverCoding/blob/main/ModelMusings/Support/ModelGuide/ModelGuide-CombinedLakePowellLakeMead.md" TargetMode="External"/><Relationship Id="rId4" Type="http://schemas.openxmlformats.org/officeDocument/2006/relationships/hyperlink" Target="https://github.com/dzeke/ColoradoRiverCoding/blob/main/ModelMusings/Support/ModelGuide/ModelGuide-CombinedLakePowellLakeMead.md" TargetMode="External"/><Relationship Id="rId9" Type="http://schemas.openxmlformats.org/officeDocument/2006/relationships/hyperlink" Target="https://github.com/dzeke/ColoradoRiverCoding/blob/main/ModelMusings/Support/ModelGuide/ModelGuide-CombinedLakePowellLakeMead.md" TargetMode="External"/><Relationship Id="rId5" Type="http://schemas.openxmlformats.org/officeDocument/2006/relationships/hyperlink" Target="https://github.com/dzeke/ColoradoRiverCoding/blob/main/ModelMusings/Support/ModelGuide/ModelGuide-CombinedLakePowellLakeMead.md" TargetMode="External"/><Relationship Id="rId6" Type="http://schemas.openxmlformats.org/officeDocument/2006/relationships/hyperlink" Target="https://github.com/dzeke/ColoradoRiverCoding/blob/main/ModelMusings/Support/ModelGuide/ModelGuide-CombinedLakePowellLakeMead.md" TargetMode="External"/><Relationship Id="rId7" Type="http://schemas.openxmlformats.org/officeDocument/2006/relationships/hyperlink" Target="https://github.com/dzeke/ColoradoRiverCoding/blob/main/ModelMusings/Support/ModelGuide/ModelGuide-CombinedLakePowellLakeMead.md" TargetMode="External"/><Relationship Id="rId8" Type="http://schemas.openxmlformats.org/officeDocument/2006/relationships/hyperlink" Target="https://github.com/dzeke/ColoradoRiverCoding/blob/main/ModelMusings/Support/ModelGuide/ModelGuide-CombinedLakePowellLakeMead.md" TargetMode="External"/><Relationship Id="rId20" Type="http://schemas.openxmlformats.org/officeDocument/2006/relationships/drawing" Target="../drawings/drawing8.xml"/><Relationship Id="rId11" Type="http://schemas.openxmlformats.org/officeDocument/2006/relationships/hyperlink" Target="https://github.com/dzeke/ColoradoRiverCoding/blob/main/ModelMusings/Support/ModelGuide/ModelGuide-CombinedLakePowellLakeMead.md" TargetMode="External"/><Relationship Id="rId10" Type="http://schemas.openxmlformats.org/officeDocument/2006/relationships/hyperlink" Target="https://github.com/dzeke/ColoradoRiverCoding/blob/main/ModelMusings/Support/ModelGuide/ModelGuide-CombinedLakePowellLakeMead.md" TargetMode="External"/><Relationship Id="rId13" Type="http://schemas.openxmlformats.org/officeDocument/2006/relationships/hyperlink" Target="https://github.com/dzeke/ColoradoRiverCoding/blob/main/ModelMusings/Support/ModelGuide/ModelGuide-CombinedLakePowellLakeMead.md" TargetMode="External"/><Relationship Id="rId12" Type="http://schemas.openxmlformats.org/officeDocument/2006/relationships/hyperlink" Target="https://github.com/dzeke/ColoradoRiverCoding/blob/main/ModelMusings/Support/ModelGuide/ModelGuide-CombinedLakePowellLakeMead.md" TargetMode="External"/><Relationship Id="rId15" Type="http://schemas.openxmlformats.org/officeDocument/2006/relationships/hyperlink" Target="https://github.com/dzeke/ColoradoRiverCoding/blob/main/ModelMusings/Support/ModelGuide/ModelGuide-CombinedLakePowellLakeMead.md" TargetMode="External"/><Relationship Id="rId14" Type="http://schemas.openxmlformats.org/officeDocument/2006/relationships/hyperlink" Target="https://github.com/dzeke/ColoradoRiverCoding/blob/main/ModelMusings/Support/ModelGuide/ModelGuide-CombinedLakePowellLakeMead.md" TargetMode="External"/><Relationship Id="rId17" Type="http://schemas.openxmlformats.org/officeDocument/2006/relationships/hyperlink" Target="https://github.com/dzeke/ColoradoRiverCoding/blob/main/ModelMusings/Support/ModelGuide/ModelGuide-CombinedLakePowellLakeMead.md" TargetMode="External"/><Relationship Id="rId16" Type="http://schemas.openxmlformats.org/officeDocument/2006/relationships/hyperlink" Target="https://github.com/dzeke/ColoradoRiverCoding/blob/main/ModelMusings/Support/ModelGuide/ModelGuide-CombinedLakePowellLakeMead.md" TargetMode="External"/><Relationship Id="rId19" Type="http://schemas.openxmlformats.org/officeDocument/2006/relationships/hyperlink" Target="https://github.com/dzeke/ColoradoRiverCoding/blob/main/ModelMusings/Support/ModelGuide/ModelGuide-CombinedLakePowellLakeMead.md" TargetMode="External"/><Relationship Id="rId18" Type="http://schemas.openxmlformats.org/officeDocument/2006/relationships/hyperlink" Target="https://github.com/dzeke/ColoradoRiverCoding/blob/main/ModelMusings/Support/ModelGuide/ModelGuide-CombinedLakePowellLakeMead.md"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30.0"/>
    <col customWidth="1" min="3" max="3" width="7.86"/>
    <col customWidth="1" min="4" max="4" width="7.0"/>
    <col customWidth="1" min="5" max="5" width="7.43"/>
    <col customWidth="1" min="6" max="6" width="7.29"/>
    <col customWidth="1" min="7" max="7" width="7.43"/>
    <col customWidth="1" min="8" max="8" width="7.14"/>
    <col customWidth="1" min="9" max="9" width="7.43"/>
    <col customWidth="1" min="10" max="10" width="7.71"/>
    <col customWidth="1" min="11" max="11" width="8.86"/>
    <col customWidth="1" min="12" max="12" width="12.43"/>
    <col customWidth="1" min="13" max="13" width="3.86"/>
    <col customWidth="1" min="14" max="26" width="8.86"/>
  </cols>
  <sheetData>
    <row r="1">
      <c r="A1" s="4" t="s">
        <v>2</v>
      </c>
      <c r="B1" s="5"/>
      <c r="C1" s="5"/>
      <c r="D1" s="5"/>
      <c r="E1" s="5"/>
      <c r="F1" s="5"/>
      <c r="G1" s="5"/>
      <c r="H1" s="5"/>
      <c r="I1" s="5"/>
      <c r="J1" s="5"/>
      <c r="K1" s="5"/>
      <c r="L1" s="9"/>
    </row>
    <row r="2">
      <c r="A2" s="11"/>
      <c r="B2" s="11"/>
      <c r="C2" s="8"/>
    </row>
    <row r="3">
      <c r="A3" s="13" t="s">
        <v>10</v>
      </c>
      <c r="B3" s="14"/>
      <c r="C3" s="16"/>
      <c r="D3" s="19"/>
      <c r="E3" s="19"/>
      <c r="F3" s="19"/>
      <c r="G3" s="19"/>
      <c r="H3" s="19"/>
      <c r="I3" s="19"/>
      <c r="J3" s="19"/>
      <c r="K3" s="19"/>
      <c r="L3" s="24"/>
      <c r="N3" s="11"/>
    </row>
    <row r="4" ht="53.25" customHeight="1">
      <c r="A4" s="32" t="s">
        <v>21</v>
      </c>
      <c r="B4" s="33"/>
      <c r="C4" s="33"/>
      <c r="D4" s="33"/>
      <c r="E4" s="33"/>
      <c r="F4" s="33"/>
      <c r="G4" s="33"/>
      <c r="H4" s="33"/>
      <c r="I4" s="33"/>
      <c r="J4" s="33"/>
      <c r="K4" s="33"/>
      <c r="L4" s="35"/>
      <c r="M4" s="36"/>
      <c r="N4" s="37"/>
      <c r="S4" s="36"/>
      <c r="T4" s="36"/>
      <c r="U4" s="36"/>
      <c r="V4" s="36"/>
      <c r="W4" s="36"/>
      <c r="X4" s="36"/>
      <c r="Y4" s="36"/>
      <c r="Z4" s="36"/>
    </row>
    <row r="5" ht="34.5" customHeight="1">
      <c r="A5" s="45" t="s">
        <v>58</v>
      </c>
      <c r="B5" s="5"/>
      <c r="C5" s="5"/>
      <c r="D5" s="5"/>
      <c r="E5" s="5"/>
      <c r="F5" s="5"/>
      <c r="G5" s="5"/>
      <c r="H5" s="5"/>
      <c r="I5" s="5"/>
      <c r="J5" s="5"/>
      <c r="K5" s="5"/>
      <c r="L5" s="46"/>
      <c r="M5" s="36"/>
      <c r="N5" s="37"/>
      <c r="O5" s="37"/>
      <c r="P5" s="37"/>
      <c r="Q5" s="37"/>
      <c r="R5" s="37"/>
      <c r="S5" s="36"/>
      <c r="T5" s="36"/>
      <c r="U5" s="36"/>
      <c r="V5" s="36"/>
      <c r="W5" s="36"/>
      <c r="X5" s="36"/>
      <c r="Y5" s="36"/>
      <c r="Z5" s="36"/>
    </row>
    <row r="6" ht="13.5" customHeight="1">
      <c r="A6" s="45" t="s">
        <v>64</v>
      </c>
      <c r="B6" s="5"/>
      <c r="C6" s="5"/>
      <c r="D6" s="5"/>
      <c r="E6" s="5"/>
      <c r="F6" s="5"/>
      <c r="G6" s="5"/>
      <c r="H6" s="5"/>
      <c r="I6" s="5"/>
      <c r="J6" s="5"/>
      <c r="K6" s="5"/>
      <c r="L6" s="46"/>
      <c r="M6" s="36"/>
      <c r="N6" s="37"/>
      <c r="O6" s="37"/>
      <c r="P6" s="37"/>
      <c r="Q6" s="37"/>
      <c r="R6" s="37"/>
      <c r="S6" s="36"/>
      <c r="T6" s="36"/>
      <c r="U6" s="36"/>
      <c r="V6" s="36"/>
      <c r="W6" s="36"/>
      <c r="X6" s="36"/>
      <c r="Y6" s="36"/>
      <c r="Z6" s="36"/>
    </row>
    <row r="7" ht="13.5" customHeight="1">
      <c r="A7" s="47"/>
      <c r="B7" s="49" t="s">
        <v>70</v>
      </c>
      <c r="C7" s="5"/>
      <c r="D7" s="5"/>
      <c r="E7" s="5"/>
      <c r="F7" s="5"/>
      <c r="G7" s="5"/>
      <c r="H7" s="5"/>
      <c r="I7" s="5"/>
      <c r="J7" s="5"/>
      <c r="K7" s="5"/>
      <c r="L7" s="46"/>
      <c r="M7" s="36"/>
      <c r="N7" s="37"/>
      <c r="O7" s="37"/>
      <c r="P7" s="37"/>
      <c r="Q7" s="37"/>
      <c r="R7" s="37"/>
      <c r="S7" s="36"/>
      <c r="T7" s="36"/>
      <c r="U7" s="36"/>
      <c r="V7" s="36"/>
      <c r="W7" s="36"/>
      <c r="X7" s="36"/>
      <c r="Y7" s="36"/>
      <c r="Z7" s="36"/>
    </row>
    <row r="8" ht="13.5" customHeight="1">
      <c r="A8" s="52"/>
      <c r="B8" s="53" t="s">
        <v>74</v>
      </c>
      <c r="C8" s="54"/>
      <c r="D8" s="54"/>
      <c r="E8" s="54"/>
      <c r="F8" s="54"/>
      <c r="G8" s="54"/>
      <c r="H8" s="54"/>
      <c r="I8" s="54"/>
      <c r="J8" s="54"/>
      <c r="K8" s="54"/>
      <c r="L8" s="55"/>
      <c r="M8" s="36"/>
      <c r="N8" s="37"/>
      <c r="O8" s="37"/>
      <c r="P8" s="37"/>
      <c r="Q8" s="37"/>
      <c r="R8" s="37"/>
      <c r="S8" s="36"/>
      <c r="T8" s="36"/>
      <c r="U8" s="36"/>
      <c r="V8" s="36"/>
      <c r="W8" s="36"/>
      <c r="X8" s="36"/>
      <c r="Y8" s="36"/>
      <c r="Z8" s="36"/>
    </row>
    <row r="9" ht="14.25" customHeight="1">
      <c r="A9" s="37"/>
      <c r="B9" s="37"/>
      <c r="C9" s="37"/>
      <c r="D9" s="37"/>
      <c r="E9" s="37"/>
      <c r="F9" s="37"/>
      <c r="G9" s="37"/>
      <c r="H9" s="37"/>
      <c r="I9" s="37"/>
      <c r="J9" s="37"/>
      <c r="K9" s="37"/>
      <c r="L9" s="37"/>
      <c r="M9" s="56"/>
      <c r="N9" s="56"/>
      <c r="O9" s="56"/>
      <c r="P9" s="56"/>
      <c r="Q9" s="56"/>
      <c r="R9" s="56"/>
      <c r="S9" s="56"/>
      <c r="T9" s="56"/>
      <c r="U9" s="56"/>
      <c r="V9" s="56"/>
      <c r="W9" s="56"/>
      <c r="X9" s="56"/>
      <c r="Y9" s="56"/>
      <c r="Z9" s="56"/>
    </row>
    <row r="10" ht="14.25" customHeight="1">
      <c r="A10" s="58" t="s">
        <v>75</v>
      </c>
      <c r="B10" s="33"/>
      <c r="C10" s="33"/>
      <c r="D10" s="33"/>
      <c r="E10" s="33"/>
      <c r="F10" s="33"/>
      <c r="G10" s="33"/>
      <c r="H10" s="33"/>
      <c r="I10" s="33"/>
      <c r="J10" s="33"/>
      <c r="K10" s="33"/>
      <c r="L10" s="35"/>
      <c r="M10" s="56"/>
      <c r="N10" s="56"/>
      <c r="O10" s="56"/>
      <c r="P10" s="56"/>
      <c r="Q10" s="56"/>
      <c r="R10" s="56"/>
      <c r="S10" s="56"/>
      <c r="T10" s="56"/>
      <c r="U10" s="56"/>
      <c r="V10" s="56"/>
      <c r="W10" s="56"/>
      <c r="X10" s="56"/>
      <c r="Y10" s="56"/>
      <c r="Z10" s="56"/>
    </row>
    <row r="11" ht="14.25" customHeight="1">
      <c r="A11" s="61"/>
      <c r="B11" s="62"/>
      <c r="C11" s="62"/>
      <c r="D11" s="62"/>
      <c r="E11" s="62"/>
      <c r="F11" s="62"/>
      <c r="G11" s="62"/>
      <c r="H11" s="62"/>
      <c r="I11" s="62"/>
      <c r="J11" s="62"/>
      <c r="K11" s="62"/>
      <c r="L11" s="64"/>
      <c r="M11" s="56"/>
      <c r="N11" s="56"/>
      <c r="O11" s="56"/>
      <c r="P11" s="56"/>
      <c r="Q11" s="56"/>
      <c r="R11" s="56"/>
      <c r="S11" s="56"/>
      <c r="T11" s="56"/>
      <c r="U11" s="56"/>
      <c r="V11" s="56"/>
      <c r="W11" s="56"/>
      <c r="X11" s="56"/>
      <c r="Y11" s="56"/>
      <c r="Z11" s="56"/>
    </row>
    <row r="12" ht="33.0" customHeight="1">
      <c r="A12" s="61" t="s">
        <v>78</v>
      </c>
      <c r="B12" s="66" t="s">
        <v>80</v>
      </c>
      <c r="C12" s="5"/>
      <c r="D12" s="5"/>
      <c r="E12" s="5"/>
      <c r="F12" s="5"/>
      <c r="G12" s="5"/>
      <c r="H12" s="5"/>
      <c r="I12" s="5"/>
      <c r="J12" s="5"/>
      <c r="K12" s="5"/>
      <c r="L12" s="46"/>
      <c r="M12" s="56"/>
      <c r="N12" s="56"/>
      <c r="O12" s="56"/>
      <c r="P12" s="56"/>
      <c r="Q12" s="56"/>
      <c r="R12" s="56"/>
      <c r="S12" s="56"/>
      <c r="T12" s="56"/>
      <c r="U12" s="56"/>
      <c r="V12" s="56"/>
      <c r="W12" s="56"/>
      <c r="X12" s="56"/>
      <c r="Y12" s="56"/>
      <c r="Z12" s="56"/>
    </row>
    <row r="13" ht="231.0" customHeight="1">
      <c r="A13" s="61"/>
      <c r="B13" s="62"/>
      <c r="C13" s="62"/>
      <c r="D13" s="62"/>
      <c r="E13" s="62"/>
      <c r="F13" s="62"/>
      <c r="G13" s="62"/>
      <c r="H13" s="62"/>
      <c r="I13" s="62"/>
      <c r="J13" s="62"/>
      <c r="K13" s="62"/>
      <c r="L13" s="64"/>
      <c r="M13" s="56"/>
      <c r="N13" s="56"/>
      <c r="O13" s="56"/>
      <c r="P13" s="56"/>
      <c r="Q13" s="56"/>
      <c r="R13" s="56"/>
      <c r="S13" s="56"/>
      <c r="T13" s="56"/>
      <c r="U13" s="56"/>
      <c r="V13" s="56"/>
      <c r="W13" s="56"/>
      <c r="X13" s="56"/>
      <c r="Y13" s="56"/>
      <c r="Z13" s="56"/>
    </row>
    <row r="14" ht="14.25" customHeight="1">
      <c r="A14" s="69" t="s">
        <v>86</v>
      </c>
      <c r="B14" s="72" t="s">
        <v>87</v>
      </c>
      <c r="C14" s="5"/>
      <c r="D14" s="5"/>
      <c r="E14" s="5"/>
      <c r="F14" s="5"/>
      <c r="G14" s="5"/>
      <c r="H14" s="5"/>
      <c r="I14" s="5"/>
      <c r="J14" s="5"/>
      <c r="K14" s="5"/>
      <c r="L14" s="46"/>
      <c r="M14" s="73"/>
      <c r="N14" s="73"/>
      <c r="O14" s="73"/>
      <c r="P14" s="73"/>
      <c r="Q14" s="73"/>
      <c r="R14" s="73"/>
      <c r="S14" s="73"/>
      <c r="T14" s="73"/>
      <c r="U14" s="73"/>
      <c r="V14" s="73"/>
      <c r="W14" s="73"/>
      <c r="X14" s="73"/>
      <c r="Y14" s="73"/>
      <c r="Z14" s="73"/>
    </row>
    <row r="15" ht="161.25" customHeight="1">
      <c r="A15" s="75"/>
      <c r="B15" s="76"/>
      <c r="C15" s="76"/>
      <c r="D15" s="76"/>
      <c r="E15" s="76"/>
      <c r="F15" s="76"/>
      <c r="G15" s="76"/>
      <c r="H15" s="76"/>
      <c r="I15" s="76"/>
      <c r="J15" s="76"/>
      <c r="K15" s="76"/>
      <c r="L15" s="77"/>
      <c r="M15" s="56"/>
      <c r="N15" s="56"/>
      <c r="O15" s="56"/>
      <c r="P15" s="56"/>
      <c r="Q15" s="56"/>
      <c r="R15" s="56"/>
      <c r="S15" s="56"/>
      <c r="T15" s="56"/>
      <c r="U15" s="56"/>
      <c r="V15" s="56"/>
      <c r="W15" s="56"/>
      <c r="X15" s="56"/>
      <c r="Y15" s="56"/>
      <c r="Z15" s="56"/>
    </row>
    <row r="16" ht="14.25" customHeight="1">
      <c r="A16" s="69" t="s">
        <v>90</v>
      </c>
      <c r="B16" s="72" t="s">
        <v>91</v>
      </c>
      <c r="C16" s="5"/>
      <c r="D16" s="5"/>
      <c r="E16" s="5"/>
      <c r="F16" s="5"/>
      <c r="G16" s="5"/>
      <c r="H16" s="5"/>
      <c r="I16" s="5"/>
      <c r="J16" s="5"/>
      <c r="K16" s="5"/>
      <c r="L16" s="46"/>
      <c r="M16" s="73"/>
      <c r="N16" s="73"/>
      <c r="O16" s="73"/>
      <c r="P16" s="73"/>
      <c r="Q16" s="73"/>
      <c r="R16" s="73"/>
      <c r="S16" s="73"/>
      <c r="T16" s="73"/>
      <c r="U16" s="73"/>
      <c r="V16" s="73"/>
      <c r="W16" s="73"/>
      <c r="X16" s="73"/>
      <c r="Y16" s="73"/>
      <c r="Z16" s="73"/>
    </row>
    <row r="17" ht="90.0" customHeight="1">
      <c r="A17" s="75"/>
      <c r="B17" s="79"/>
      <c r="C17" s="5"/>
      <c r="D17" s="5"/>
      <c r="E17" s="5"/>
      <c r="F17" s="5"/>
      <c r="G17" s="5"/>
      <c r="H17" s="5"/>
      <c r="I17" s="5"/>
      <c r="J17" s="5"/>
      <c r="K17" s="5"/>
      <c r="L17" s="46"/>
      <c r="M17" s="56"/>
      <c r="N17" s="56"/>
      <c r="O17" s="56"/>
      <c r="P17" s="56"/>
      <c r="Q17" s="56"/>
      <c r="R17" s="56"/>
      <c r="S17" s="56"/>
      <c r="T17" s="56"/>
      <c r="U17" s="56"/>
      <c r="V17" s="56"/>
      <c r="W17" s="56"/>
      <c r="X17" s="56"/>
      <c r="Y17" s="56"/>
      <c r="Z17" s="56"/>
    </row>
    <row r="18" ht="28.5" customHeight="1">
      <c r="A18" s="69" t="s">
        <v>94</v>
      </c>
      <c r="B18" s="72" t="s">
        <v>95</v>
      </c>
      <c r="C18" s="5"/>
      <c r="D18" s="5"/>
      <c r="E18" s="5"/>
      <c r="F18" s="5"/>
      <c r="G18" s="5"/>
      <c r="H18" s="5"/>
      <c r="I18" s="5"/>
      <c r="J18" s="5"/>
      <c r="K18" s="5"/>
      <c r="L18" s="46"/>
      <c r="M18" s="73"/>
      <c r="N18" s="73"/>
      <c r="O18" s="73"/>
      <c r="P18" s="73"/>
      <c r="Q18" s="73"/>
      <c r="R18" s="73"/>
      <c r="S18" s="73"/>
      <c r="T18" s="73"/>
      <c r="U18" s="73"/>
      <c r="V18" s="73"/>
      <c r="W18" s="73"/>
      <c r="X18" s="73"/>
      <c r="Y18" s="73"/>
      <c r="Z18" s="73"/>
    </row>
    <row r="19" ht="268.5" customHeight="1">
      <c r="A19" s="75"/>
      <c r="B19" s="76"/>
      <c r="C19" s="76"/>
      <c r="D19" s="76"/>
      <c r="E19" s="76"/>
      <c r="F19" s="76"/>
      <c r="G19" s="76"/>
      <c r="H19" s="76"/>
      <c r="I19" s="76"/>
      <c r="J19" s="76"/>
      <c r="K19" s="76"/>
      <c r="L19" s="77"/>
      <c r="M19" s="56"/>
      <c r="N19" s="56"/>
      <c r="O19" s="56"/>
      <c r="P19" s="56"/>
      <c r="Q19" s="56"/>
      <c r="R19" s="56"/>
      <c r="S19" s="56"/>
      <c r="T19" s="56"/>
      <c r="U19" s="56"/>
      <c r="V19" s="56"/>
      <c r="W19" s="56"/>
      <c r="X19" s="56"/>
      <c r="Y19" s="56"/>
      <c r="Z19" s="56"/>
    </row>
    <row r="20" ht="14.25" customHeight="1">
      <c r="A20" s="82" t="s">
        <v>97</v>
      </c>
      <c r="B20" s="54"/>
      <c r="C20" s="54"/>
      <c r="D20" s="83"/>
      <c r="E20" s="86" t="s">
        <v>98</v>
      </c>
      <c r="F20" s="88"/>
      <c r="G20" s="88"/>
      <c r="H20" s="88"/>
      <c r="I20" s="88"/>
      <c r="J20" s="88"/>
      <c r="K20" s="88"/>
      <c r="L20" s="90"/>
      <c r="M20" s="56"/>
      <c r="N20" s="56"/>
      <c r="O20" s="56"/>
      <c r="P20" s="56"/>
      <c r="Q20" s="56"/>
      <c r="R20" s="56"/>
      <c r="S20" s="56"/>
      <c r="T20" s="56"/>
      <c r="U20" s="56"/>
      <c r="V20" s="56"/>
      <c r="W20" s="56"/>
      <c r="X20" s="56"/>
      <c r="Y20" s="56"/>
      <c r="Z20" s="56"/>
    </row>
    <row r="21" ht="14.25" customHeight="1">
      <c r="A21" s="37"/>
      <c r="B21" s="37"/>
      <c r="C21" s="37"/>
      <c r="D21" s="37"/>
      <c r="E21" s="37"/>
      <c r="F21" s="37"/>
      <c r="G21" s="37"/>
      <c r="H21" s="37"/>
      <c r="I21" s="37"/>
      <c r="J21" s="37"/>
      <c r="K21" s="37"/>
      <c r="L21" s="37"/>
      <c r="M21" s="56"/>
      <c r="N21" s="56"/>
      <c r="O21" s="56"/>
      <c r="P21" s="56"/>
      <c r="Q21" s="56"/>
      <c r="R21" s="56"/>
      <c r="S21" s="56"/>
      <c r="T21" s="56"/>
      <c r="U21" s="56"/>
      <c r="V21" s="56"/>
      <c r="W21" s="56"/>
      <c r="X21" s="56"/>
      <c r="Y21" s="56"/>
      <c r="Z21" s="56"/>
    </row>
    <row r="22" ht="14.25" customHeight="1">
      <c r="A22" s="93" t="s">
        <v>101</v>
      </c>
      <c r="B22" s="33"/>
      <c r="C22" s="33"/>
      <c r="D22" s="33"/>
      <c r="E22" s="33"/>
      <c r="F22" s="33"/>
      <c r="G22" s="33"/>
      <c r="H22" s="33"/>
      <c r="I22" s="33"/>
      <c r="J22" s="33"/>
      <c r="K22" s="33"/>
      <c r="L22" s="35"/>
      <c r="M22" s="56"/>
      <c r="N22" s="56"/>
      <c r="O22" s="56"/>
      <c r="P22" s="56"/>
      <c r="Q22" s="56"/>
      <c r="R22" s="56"/>
      <c r="S22" s="56"/>
      <c r="T22" s="56"/>
      <c r="U22" s="56"/>
      <c r="V22" s="56"/>
      <c r="W22" s="56"/>
      <c r="X22" s="56"/>
      <c r="Y22" s="56"/>
      <c r="Z22" s="56"/>
    </row>
    <row r="23" ht="14.25" customHeight="1">
      <c r="A23" s="96" t="s">
        <v>107</v>
      </c>
      <c r="B23" s="5"/>
      <c r="C23" s="5"/>
      <c r="D23" s="5"/>
      <c r="E23" s="5"/>
      <c r="F23" s="5"/>
      <c r="G23" s="5"/>
      <c r="H23" s="5"/>
      <c r="I23" s="5"/>
      <c r="J23" s="5"/>
      <c r="K23" s="5"/>
      <c r="L23" s="46"/>
      <c r="M23" s="56"/>
      <c r="N23" s="56"/>
      <c r="O23" s="56"/>
      <c r="P23" s="56"/>
      <c r="Q23" s="56"/>
      <c r="R23" s="56"/>
      <c r="S23" s="56"/>
      <c r="T23" s="56"/>
      <c r="U23" s="56"/>
      <c r="V23" s="56"/>
      <c r="W23" s="56"/>
      <c r="X23" s="56"/>
      <c r="Y23" s="56"/>
      <c r="Z23" s="56"/>
    </row>
    <row r="24" ht="14.25" customHeight="1">
      <c r="A24" s="98" t="s">
        <v>112</v>
      </c>
      <c r="B24" s="5"/>
      <c r="C24" s="5"/>
      <c r="D24" s="5"/>
      <c r="E24" s="5"/>
      <c r="F24" s="5"/>
      <c r="G24" s="5"/>
      <c r="H24" s="5"/>
      <c r="I24" s="5"/>
      <c r="J24" s="5"/>
      <c r="K24" s="5"/>
      <c r="L24" s="46"/>
      <c r="M24" s="56"/>
      <c r="N24" s="56"/>
      <c r="O24" s="56"/>
      <c r="P24" s="56"/>
      <c r="Q24" s="56"/>
      <c r="R24" s="56"/>
      <c r="S24" s="56"/>
      <c r="T24" s="56"/>
      <c r="U24" s="56"/>
      <c r="V24" s="56"/>
      <c r="W24" s="56"/>
      <c r="X24" s="56"/>
      <c r="Y24" s="56"/>
      <c r="Z24" s="56"/>
    </row>
    <row r="25" ht="14.25" customHeight="1">
      <c r="A25" s="98" t="s">
        <v>119</v>
      </c>
      <c r="B25" s="5"/>
      <c r="C25" s="5"/>
      <c r="D25" s="5"/>
      <c r="E25" s="5"/>
      <c r="F25" s="5"/>
      <c r="G25" s="5"/>
      <c r="H25" s="5"/>
      <c r="I25" s="5"/>
      <c r="J25" s="5"/>
      <c r="K25" s="5"/>
      <c r="L25" s="46"/>
      <c r="M25" s="56"/>
      <c r="N25" s="56"/>
      <c r="O25" s="56"/>
      <c r="P25" s="56"/>
      <c r="Q25" s="56"/>
      <c r="R25" s="56"/>
      <c r="S25" s="56"/>
      <c r="T25" s="56"/>
      <c r="U25" s="56"/>
      <c r="V25" s="56"/>
      <c r="W25" s="56"/>
      <c r="X25" s="56"/>
      <c r="Y25" s="56"/>
      <c r="Z25" s="56"/>
    </row>
    <row r="26" ht="14.25" customHeight="1">
      <c r="A26" s="108" t="s">
        <v>122</v>
      </c>
      <c r="B26" s="54"/>
      <c r="C26" s="54"/>
      <c r="D26" s="54"/>
      <c r="E26" s="54"/>
      <c r="F26" s="54"/>
      <c r="G26" s="54"/>
      <c r="H26" s="54"/>
      <c r="I26" s="54"/>
      <c r="J26" s="54"/>
      <c r="K26" s="54"/>
      <c r="L26" s="55"/>
      <c r="M26" s="56"/>
      <c r="N26" s="56"/>
      <c r="O26" s="56"/>
      <c r="P26" s="56"/>
      <c r="Q26" s="56"/>
      <c r="R26" s="56"/>
      <c r="S26" s="56"/>
      <c r="T26" s="56"/>
      <c r="U26" s="56"/>
      <c r="V26" s="56"/>
      <c r="W26" s="56"/>
      <c r="X26" s="56"/>
      <c r="Y26" s="56"/>
      <c r="Z26" s="56"/>
    </row>
    <row r="27" ht="14.25" customHeight="1">
      <c r="A27" s="37"/>
      <c r="B27" s="37"/>
      <c r="C27" s="37"/>
      <c r="D27" s="37"/>
      <c r="E27" s="37"/>
      <c r="F27" s="37"/>
      <c r="G27" s="37"/>
      <c r="H27" s="37"/>
      <c r="I27" s="37"/>
      <c r="J27" s="37"/>
      <c r="K27" s="37"/>
      <c r="L27" s="37"/>
      <c r="M27" s="56"/>
      <c r="N27" s="56"/>
      <c r="O27" s="56"/>
      <c r="P27" s="56"/>
      <c r="Q27" s="56"/>
      <c r="R27" s="56"/>
      <c r="S27" s="56"/>
      <c r="T27" s="56"/>
      <c r="U27" s="56"/>
      <c r="V27" s="56"/>
      <c r="W27" s="56"/>
      <c r="X27" s="56"/>
      <c r="Y27" s="56"/>
      <c r="Z27" s="56"/>
    </row>
    <row r="28" ht="16.5" customHeight="1">
      <c r="A28" s="114" t="s">
        <v>139</v>
      </c>
      <c r="B28" s="33"/>
      <c r="C28" s="33"/>
      <c r="D28" s="33"/>
      <c r="E28" s="33"/>
      <c r="F28" s="33"/>
      <c r="G28" s="33"/>
      <c r="H28" s="33"/>
      <c r="I28" s="33"/>
      <c r="J28" s="33"/>
      <c r="K28" s="33"/>
      <c r="L28" s="35"/>
      <c r="M28" s="56"/>
      <c r="N28" s="11"/>
      <c r="O28" s="56"/>
      <c r="P28" s="56"/>
      <c r="Q28" s="56"/>
      <c r="R28" s="56"/>
      <c r="S28" s="56"/>
      <c r="T28" s="56"/>
      <c r="U28" s="56"/>
      <c r="V28" s="56"/>
      <c r="W28" s="56"/>
      <c r="X28" s="56"/>
      <c r="Y28" s="56"/>
      <c r="Z28" s="56"/>
    </row>
    <row r="29" ht="16.5" customHeight="1">
      <c r="A29" s="120" t="s">
        <v>142</v>
      </c>
      <c r="B29" s="5"/>
      <c r="C29" s="5"/>
      <c r="D29" s="5"/>
      <c r="E29" s="5"/>
      <c r="F29" s="5"/>
      <c r="G29" s="5"/>
      <c r="H29" s="5"/>
      <c r="I29" s="5"/>
      <c r="J29" s="5"/>
      <c r="K29" s="5"/>
      <c r="L29" s="46"/>
      <c r="M29" s="56"/>
      <c r="N29" s="11"/>
      <c r="O29" s="56"/>
      <c r="P29" s="56"/>
      <c r="Q29" s="56"/>
      <c r="R29" s="56"/>
      <c r="S29" s="56"/>
      <c r="T29" s="56"/>
      <c r="U29" s="56"/>
      <c r="V29" s="56"/>
      <c r="W29" s="56"/>
      <c r="X29" s="56"/>
      <c r="Y29" s="56"/>
      <c r="Z29" s="56"/>
    </row>
    <row r="30" ht="15.0" customHeight="1">
      <c r="A30" s="123">
        <v>1.0</v>
      </c>
      <c r="B30" s="125" t="s">
        <v>145</v>
      </c>
      <c r="C30" s="5"/>
      <c r="D30" s="5"/>
      <c r="E30" s="5"/>
      <c r="F30" s="5"/>
      <c r="G30" s="5"/>
      <c r="H30" s="5"/>
      <c r="I30" s="5"/>
      <c r="J30" s="5"/>
      <c r="K30" s="5"/>
      <c r="L30" s="46"/>
      <c r="M30" s="56"/>
      <c r="N30" s="56"/>
      <c r="O30" s="56"/>
      <c r="P30" s="56"/>
      <c r="Q30" s="56"/>
      <c r="R30" s="56"/>
      <c r="S30" s="56"/>
      <c r="T30" s="56"/>
      <c r="U30" s="56"/>
      <c r="V30" s="56"/>
      <c r="W30" s="56"/>
      <c r="X30" s="56"/>
      <c r="Y30" s="56"/>
      <c r="Z30" s="56"/>
    </row>
    <row r="31" ht="30.0" customHeight="1">
      <c r="A31" s="123">
        <v>2.0</v>
      </c>
      <c r="B31" s="125" t="s">
        <v>148</v>
      </c>
      <c r="C31" s="5"/>
      <c r="D31" s="5"/>
      <c r="E31" s="5"/>
      <c r="F31" s="5"/>
      <c r="G31" s="5"/>
      <c r="H31" s="5"/>
      <c r="I31" s="5"/>
      <c r="J31" s="5"/>
      <c r="K31" s="5"/>
      <c r="L31" s="46"/>
      <c r="M31" s="56"/>
      <c r="N31" s="130"/>
      <c r="O31" s="56"/>
      <c r="P31" s="56"/>
      <c r="Q31" s="56"/>
      <c r="R31" s="56"/>
      <c r="S31" s="56"/>
      <c r="T31" s="56"/>
      <c r="U31" s="56"/>
      <c r="V31" s="56"/>
      <c r="W31" s="56"/>
      <c r="X31" s="56"/>
      <c r="Y31" s="56"/>
      <c r="Z31" s="56"/>
    </row>
    <row r="32" ht="15.0" customHeight="1">
      <c r="A32" s="123">
        <v>3.0</v>
      </c>
      <c r="B32" s="125" t="s">
        <v>159</v>
      </c>
      <c r="C32" s="5"/>
      <c r="D32" s="5"/>
      <c r="E32" s="5"/>
      <c r="F32" s="5"/>
      <c r="G32" s="5"/>
      <c r="H32" s="5"/>
      <c r="I32" s="5"/>
      <c r="J32" s="5"/>
      <c r="K32" s="5"/>
      <c r="L32" s="46"/>
      <c r="M32" s="56"/>
      <c r="N32" s="130"/>
      <c r="O32" s="56"/>
      <c r="P32" s="56"/>
      <c r="Q32" s="56"/>
      <c r="R32" s="56"/>
      <c r="S32" s="56"/>
      <c r="T32" s="56"/>
      <c r="U32" s="56"/>
      <c r="V32" s="56"/>
      <c r="W32" s="56"/>
      <c r="X32" s="56"/>
      <c r="Y32" s="56"/>
      <c r="Z32" s="56"/>
    </row>
    <row r="33" ht="15.0" customHeight="1">
      <c r="A33" s="123">
        <v>4.0</v>
      </c>
      <c r="B33" s="125" t="s">
        <v>162</v>
      </c>
      <c r="C33" s="5"/>
      <c r="D33" s="5"/>
      <c r="E33" s="5"/>
      <c r="F33" s="5"/>
      <c r="G33" s="5"/>
      <c r="H33" s="5"/>
      <c r="I33" s="5"/>
      <c r="J33" s="5"/>
      <c r="K33" s="5"/>
      <c r="L33" s="46"/>
      <c r="M33" s="56"/>
      <c r="N33" s="130"/>
      <c r="O33" s="56"/>
      <c r="P33" s="56"/>
      <c r="Q33" s="56"/>
      <c r="R33" s="56"/>
      <c r="S33" s="56"/>
      <c r="T33" s="56"/>
      <c r="U33" s="56"/>
      <c r="V33" s="56"/>
      <c r="W33" s="56"/>
      <c r="X33" s="56"/>
      <c r="Y33" s="56"/>
      <c r="Z33" s="56"/>
    </row>
    <row r="34" ht="15.0" customHeight="1">
      <c r="A34" s="123">
        <v>5.0</v>
      </c>
      <c r="B34" s="125" t="s">
        <v>163</v>
      </c>
      <c r="C34" s="5"/>
      <c r="D34" s="5"/>
      <c r="E34" s="5"/>
      <c r="F34" s="5"/>
      <c r="G34" s="5"/>
      <c r="H34" s="5"/>
      <c r="I34" s="5"/>
      <c r="J34" s="5"/>
      <c r="K34" s="5"/>
      <c r="L34" s="46"/>
      <c r="M34" s="56"/>
      <c r="N34" s="130"/>
      <c r="O34" s="56"/>
      <c r="P34" s="56"/>
      <c r="Q34" s="56"/>
      <c r="R34" s="56"/>
      <c r="S34" s="56"/>
      <c r="T34" s="56"/>
      <c r="U34" s="56"/>
      <c r="V34" s="56"/>
      <c r="W34" s="56"/>
      <c r="X34" s="56"/>
      <c r="Y34" s="56"/>
      <c r="Z34" s="56"/>
    </row>
    <row r="35" ht="15.0" customHeight="1">
      <c r="A35" s="123"/>
      <c r="B35" s="125" t="s">
        <v>165</v>
      </c>
      <c r="C35" s="5"/>
      <c r="D35" s="5"/>
      <c r="E35" s="5"/>
      <c r="F35" s="5"/>
      <c r="G35" s="5"/>
      <c r="H35" s="5"/>
      <c r="I35" s="5"/>
      <c r="J35" s="5"/>
      <c r="K35" s="5"/>
      <c r="L35" s="46"/>
      <c r="M35" s="56"/>
      <c r="N35" s="130"/>
      <c r="O35" s="56"/>
      <c r="P35" s="56"/>
      <c r="Q35" s="56"/>
      <c r="R35" s="56"/>
      <c r="S35" s="56"/>
      <c r="T35" s="56"/>
      <c r="U35" s="56"/>
      <c r="V35" s="56"/>
      <c r="W35" s="56"/>
      <c r="X35" s="56"/>
      <c r="Y35" s="56"/>
      <c r="Z35" s="56"/>
    </row>
    <row r="36" ht="15.0" customHeight="1">
      <c r="A36" s="123"/>
      <c r="B36" s="125" t="s">
        <v>166</v>
      </c>
      <c r="C36" s="5"/>
      <c r="D36" s="5"/>
      <c r="E36" s="5"/>
      <c r="F36" s="5"/>
      <c r="G36" s="5"/>
      <c r="H36" s="5"/>
      <c r="I36" s="5"/>
      <c r="J36" s="5"/>
      <c r="K36" s="5"/>
      <c r="L36" s="46"/>
      <c r="M36" s="56"/>
      <c r="N36" s="130"/>
      <c r="O36" s="56"/>
      <c r="P36" s="56"/>
      <c r="Q36" s="56"/>
      <c r="R36" s="56"/>
      <c r="S36" s="56"/>
      <c r="T36" s="56"/>
      <c r="U36" s="56"/>
      <c r="V36" s="56"/>
      <c r="W36" s="56"/>
      <c r="X36" s="56"/>
      <c r="Y36" s="56"/>
      <c r="Z36" s="56"/>
    </row>
    <row r="37" ht="15.0" customHeight="1">
      <c r="A37" s="137" t="s">
        <v>169</v>
      </c>
      <c r="B37" s="5"/>
      <c r="C37" s="5"/>
      <c r="D37" s="5"/>
      <c r="E37" s="5"/>
      <c r="F37" s="5"/>
      <c r="G37" s="5"/>
      <c r="H37" s="5"/>
      <c r="I37" s="5"/>
      <c r="J37" s="5"/>
      <c r="K37" s="5"/>
      <c r="L37" s="46"/>
      <c r="M37" s="56"/>
      <c r="N37" s="130"/>
      <c r="O37" s="56"/>
      <c r="P37" s="56"/>
      <c r="Q37" s="56"/>
      <c r="R37" s="56"/>
      <c r="S37" s="56"/>
      <c r="T37" s="56"/>
      <c r="U37" s="56"/>
      <c r="V37" s="56"/>
      <c r="W37" s="56"/>
      <c r="X37" s="56"/>
      <c r="Y37" s="56"/>
      <c r="Z37" s="56"/>
    </row>
    <row r="38" ht="15.0" customHeight="1">
      <c r="A38" s="123">
        <v>1.0</v>
      </c>
      <c r="B38" s="125" t="s">
        <v>171</v>
      </c>
      <c r="C38" s="5"/>
      <c r="D38" s="5"/>
      <c r="E38" s="5"/>
      <c r="F38" s="5"/>
      <c r="G38" s="5"/>
      <c r="H38" s="5"/>
      <c r="I38" s="5"/>
      <c r="J38" s="5"/>
      <c r="K38" s="5"/>
      <c r="L38" s="46"/>
      <c r="M38" s="56"/>
      <c r="N38" s="130"/>
      <c r="O38" s="56"/>
      <c r="P38" s="56"/>
      <c r="Q38" s="56"/>
      <c r="R38" s="56"/>
      <c r="S38" s="56"/>
      <c r="T38" s="56"/>
      <c r="U38" s="56"/>
      <c r="V38" s="56"/>
      <c r="W38" s="56"/>
      <c r="X38" s="56"/>
      <c r="Y38" s="56"/>
      <c r="Z38" s="56"/>
    </row>
    <row r="39" ht="30.75" customHeight="1">
      <c r="A39" s="123"/>
      <c r="B39" s="139" t="s">
        <v>174</v>
      </c>
      <c r="C39" s="5"/>
      <c r="D39" s="5"/>
      <c r="E39" s="5"/>
      <c r="F39" s="5"/>
      <c r="G39" s="5"/>
      <c r="H39" s="5"/>
      <c r="I39" s="5"/>
      <c r="J39" s="5"/>
      <c r="K39" s="5"/>
      <c r="L39" s="46"/>
      <c r="M39" s="56"/>
      <c r="N39" s="130"/>
      <c r="O39" s="56"/>
      <c r="P39" s="56"/>
      <c r="Q39" s="56"/>
      <c r="R39" s="56"/>
      <c r="S39" s="56"/>
      <c r="T39" s="56"/>
      <c r="U39" s="56"/>
      <c r="V39" s="56"/>
      <c r="W39" s="56"/>
      <c r="X39" s="56"/>
      <c r="Y39" s="56"/>
      <c r="Z39" s="56"/>
    </row>
    <row r="40" ht="29.25" customHeight="1">
      <c r="A40" s="123">
        <v>2.0</v>
      </c>
      <c r="B40" s="125" t="s">
        <v>175</v>
      </c>
      <c r="C40" s="5"/>
      <c r="D40" s="5"/>
      <c r="E40" s="5"/>
      <c r="F40" s="5"/>
      <c r="G40" s="5"/>
      <c r="H40" s="5"/>
      <c r="I40" s="5"/>
      <c r="J40" s="5"/>
      <c r="K40" s="5"/>
      <c r="L40" s="46"/>
      <c r="M40" s="56"/>
      <c r="N40" s="130"/>
      <c r="O40" s="56"/>
      <c r="P40" s="56"/>
      <c r="Q40" s="56"/>
      <c r="R40" s="56"/>
      <c r="S40" s="56"/>
      <c r="T40" s="56"/>
      <c r="U40" s="56"/>
      <c r="V40" s="56"/>
      <c r="W40" s="56"/>
      <c r="X40" s="56"/>
      <c r="Y40" s="56"/>
      <c r="Z40" s="56"/>
    </row>
    <row r="41" ht="26.25" customHeight="1">
      <c r="A41" s="123">
        <v>3.0</v>
      </c>
      <c r="B41" s="125" t="s">
        <v>178</v>
      </c>
      <c r="C41" s="5"/>
      <c r="D41" s="5"/>
      <c r="E41" s="5"/>
      <c r="F41" s="5"/>
      <c r="G41" s="5"/>
      <c r="H41" s="5"/>
      <c r="I41" s="5"/>
      <c r="J41" s="5"/>
      <c r="K41" s="5"/>
      <c r="L41" s="46"/>
      <c r="M41" s="56"/>
      <c r="N41" s="130"/>
      <c r="O41" s="56"/>
      <c r="P41" s="56"/>
      <c r="Q41" s="56"/>
      <c r="R41" s="56"/>
      <c r="S41" s="56"/>
      <c r="T41" s="56"/>
      <c r="U41" s="56"/>
      <c r="V41" s="56"/>
      <c r="W41" s="56"/>
      <c r="X41" s="56"/>
      <c r="Y41" s="56"/>
      <c r="Z41" s="56"/>
    </row>
    <row r="42" ht="33.0" customHeight="1">
      <c r="A42" s="123">
        <v>4.0</v>
      </c>
      <c r="B42" s="125" t="s">
        <v>181</v>
      </c>
      <c r="C42" s="5"/>
      <c r="D42" s="5"/>
      <c r="E42" s="5"/>
      <c r="F42" s="5"/>
      <c r="G42" s="5"/>
      <c r="H42" s="5"/>
      <c r="I42" s="5"/>
      <c r="J42" s="5"/>
      <c r="K42" s="5"/>
      <c r="L42" s="46"/>
      <c r="M42" s="56"/>
      <c r="N42" s="130"/>
      <c r="O42" s="56"/>
      <c r="P42" s="56"/>
      <c r="Q42" s="56"/>
      <c r="R42" s="56"/>
      <c r="S42" s="56"/>
      <c r="T42" s="56"/>
      <c r="U42" s="56"/>
      <c r="V42" s="56"/>
      <c r="W42" s="56"/>
      <c r="X42" s="56"/>
      <c r="Y42" s="56"/>
      <c r="Z42" s="56"/>
    </row>
    <row r="43" ht="15.0" customHeight="1">
      <c r="A43" s="123">
        <v>5.0</v>
      </c>
      <c r="B43" s="139" t="s">
        <v>182</v>
      </c>
      <c r="C43" s="5"/>
      <c r="D43" s="5"/>
      <c r="E43" s="5"/>
      <c r="F43" s="5"/>
      <c r="G43" s="5"/>
      <c r="H43" s="5"/>
      <c r="I43" s="5"/>
      <c r="J43" s="5"/>
      <c r="K43" s="5"/>
      <c r="L43" s="46"/>
      <c r="M43" s="56"/>
      <c r="N43" s="130"/>
      <c r="O43" s="56"/>
      <c r="P43" s="56"/>
      <c r="Q43" s="56"/>
      <c r="R43" s="56"/>
      <c r="S43" s="56"/>
      <c r="T43" s="56"/>
      <c r="U43" s="56"/>
      <c r="V43" s="56"/>
      <c r="W43" s="56"/>
      <c r="X43" s="56"/>
      <c r="Y43" s="56"/>
      <c r="Z43" s="56"/>
    </row>
    <row r="44" ht="28.5" customHeight="1">
      <c r="A44" s="123">
        <v>6.0</v>
      </c>
      <c r="B44" s="139" t="s">
        <v>183</v>
      </c>
      <c r="C44" s="5"/>
      <c r="D44" s="5"/>
      <c r="E44" s="5"/>
      <c r="F44" s="5"/>
      <c r="G44" s="5"/>
      <c r="H44" s="5"/>
      <c r="I44" s="5"/>
      <c r="J44" s="5"/>
      <c r="K44" s="5"/>
      <c r="L44" s="46"/>
      <c r="M44" s="56"/>
      <c r="N44" s="130"/>
      <c r="O44" s="56"/>
      <c r="P44" s="56"/>
      <c r="Q44" s="56"/>
      <c r="R44" s="56"/>
      <c r="S44" s="56"/>
      <c r="T44" s="56"/>
      <c r="U44" s="56"/>
      <c r="V44" s="56"/>
      <c r="W44" s="56"/>
      <c r="X44" s="56"/>
      <c r="Y44" s="56"/>
      <c r="Z44" s="56"/>
    </row>
    <row r="45" ht="16.5" customHeight="1">
      <c r="A45" s="123">
        <v>7.0</v>
      </c>
      <c r="B45" s="125" t="s">
        <v>184</v>
      </c>
      <c r="C45" s="5"/>
      <c r="D45" s="5"/>
      <c r="E45" s="5"/>
      <c r="F45" s="5"/>
      <c r="G45" s="5"/>
      <c r="H45" s="5"/>
      <c r="I45" s="5"/>
      <c r="J45" s="5"/>
      <c r="K45" s="5"/>
      <c r="L45" s="46"/>
      <c r="M45" s="56"/>
      <c r="N45" s="56"/>
      <c r="O45" s="56"/>
      <c r="P45" s="56"/>
      <c r="Q45" s="56"/>
      <c r="R45" s="56"/>
      <c r="S45" s="56"/>
      <c r="T45" s="56"/>
      <c r="U45" s="56"/>
      <c r="V45" s="56"/>
      <c r="W45" s="56"/>
      <c r="X45" s="56"/>
      <c r="Y45" s="56"/>
      <c r="Z45" s="56"/>
    </row>
    <row r="46" ht="17.25" customHeight="1">
      <c r="A46" s="123"/>
      <c r="B46" s="146"/>
      <c r="C46" s="146"/>
      <c r="D46" s="146"/>
      <c r="E46" s="146"/>
      <c r="F46" s="146"/>
      <c r="G46" s="146"/>
      <c r="H46" s="146"/>
      <c r="I46" s="146"/>
      <c r="J46" s="146"/>
      <c r="K46" s="146"/>
      <c r="L46" s="148"/>
      <c r="M46" s="56"/>
      <c r="N46" s="56"/>
      <c r="O46" s="56"/>
      <c r="P46" s="56"/>
      <c r="Q46" s="56"/>
      <c r="R46" s="56"/>
      <c r="S46" s="56"/>
      <c r="T46" s="56"/>
      <c r="U46" s="56"/>
      <c r="V46" s="56"/>
      <c r="W46" s="56"/>
      <c r="X46" s="56"/>
      <c r="Y46" s="56"/>
      <c r="Z46" s="56"/>
    </row>
    <row r="47" ht="16.5" customHeight="1">
      <c r="A47" s="137" t="s">
        <v>186</v>
      </c>
      <c r="B47" s="5"/>
      <c r="C47" s="5"/>
      <c r="D47" s="5"/>
      <c r="E47" s="5"/>
      <c r="F47" s="5"/>
      <c r="G47" s="5"/>
      <c r="H47" s="5"/>
      <c r="I47" s="5"/>
      <c r="J47" s="5"/>
      <c r="K47" s="5"/>
      <c r="L47" s="46"/>
      <c r="M47" s="56"/>
      <c r="N47" s="56"/>
      <c r="O47" s="56"/>
      <c r="P47" s="56"/>
      <c r="Q47" s="56"/>
      <c r="R47" s="56"/>
      <c r="S47" s="56"/>
      <c r="T47" s="56"/>
      <c r="U47" s="56"/>
      <c r="V47" s="56"/>
      <c r="W47" s="56"/>
      <c r="X47" s="56"/>
      <c r="Y47" s="56"/>
      <c r="Z47" s="56"/>
    </row>
    <row r="48" ht="15.0" customHeight="1">
      <c r="A48" s="151" t="s">
        <v>188</v>
      </c>
      <c r="B48" s="125" t="s">
        <v>191</v>
      </c>
      <c r="C48" s="5"/>
      <c r="D48" s="5"/>
      <c r="E48" s="5"/>
      <c r="F48" s="5"/>
      <c r="G48" s="5"/>
      <c r="H48" s="5"/>
      <c r="I48" s="5"/>
      <c r="J48" s="5"/>
      <c r="K48" s="5"/>
      <c r="L48" s="46"/>
      <c r="M48" s="56"/>
      <c r="N48" s="56"/>
      <c r="O48" s="56"/>
      <c r="P48" s="56"/>
      <c r="Q48" s="56"/>
      <c r="R48" s="56"/>
      <c r="S48" s="56"/>
      <c r="T48" s="56"/>
      <c r="U48" s="56"/>
      <c r="V48" s="56"/>
      <c r="W48" s="56"/>
      <c r="X48" s="56"/>
      <c r="Y48" s="56"/>
      <c r="Z48" s="56"/>
    </row>
    <row r="49" ht="30.75" customHeight="1">
      <c r="A49" s="152" t="s">
        <v>192</v>
      </c>
      <c r="B49" s="153" t="s">
        <v>193</v>
      </c>
      <c r="C49" s="54"/>
      <c r="D49" s="54"/>
      <c r="E49" s="54"/>
      <c r="F49" s="54"/>
      <c r="G49" s="54"/>
      <c r="H49" s="54"/>
      <c r="I49" s="54"/>
      <c r="J49" s="54"/>
      <c r="K49" s="54"/>
      <c r="L49" s="55"/>
      <c r="M49" s="56"/>
      <c r="N49" s="56"/>
      <c r="O49" s="56"/>
      <c r="P49" s="56"/>
      <c r="Q49" s="56"/>
      <c r="R49" s="56"/>
      <c r="S49" s="56"/>
      <c r="T49" s="56"/>
      <c r="U49" s="56"/>
      <c r="V49" s="56"/>
      <c r="W49" s="56"/>
      <c r="X49" s="56"/>
      <c r="Y49" s="56"/>
      <c r="Z49" s="56"/>
    </row>
    <row r="50" ht="18.0" customHeight="1">
      <c r="A50" s="155"/>
      <c r="B50" s="37"/>
      <c r="C50" s="37"/>
      <c r="D50" s="37"/>
      <c r="E50" s="37"/>
      <c r="F50" s="37"/>
      <c r="G50" s="37"/>
      <c r="H50" s="37"/>
      <c r="I50" s="37"/>
      <c r="J50" s="37"/>
      <c r="K50" s="37"/>
      <c r="L50" s="37"/>
      <c r="M50" s="56"/>
      <c r="N50" s="56"/>
      <c r="O50" s="56"/>
      <c r="P50" s="56"/>
      <c r="Q50" s="56"/>
      <c r="R50" s="56"/>
      <c r="S50" s="56"/>
      <c r="T50" s="56"/>
      <c r="U50" s="56"/>
      <c r="V50" s="56"/>
      <c r="W50" s="56"/>
      <c r="X50" s="56"/>
      <c r="Y50" s="56"/>
      <c r="Z50" s="56"/>
    </row>
    <row r="51" ht="16.5" customHeight="1">
      <c r="A51" s="157" t="s">
        <v>194</v>
      </c>
      <c r="B51" s="33"/>
      <c r="C51" s="33"/>
      <c r="D51" s="33"/>
      <c r="E51" s="33"/>
      <c r="F51" s="33"/>
      <c r="G51" s="33"/>
      <c r="H51" s="33"/>
      <c r="I51" s="33"/>
      <c r="J51" s="33"/>
      <c r="K51" s="33"/>
      <c r="L51" s="35"/>
      <c r="M51" s="11"/>
      <c r="N51" s="11"/>
      <c r="O51" s="11"/>
      <c r="P51" s="11"/>
      <c r="Q51" s="11"/>
      <c r="R51" s="11"/>
      <c r="S51" s="11"/>
      <c r="T51" s="11"/>
      <c r="U51" s="11"/>
      <c r="V51" s="11"/>
      <c r="W51" s="11"/>
      <c r="X51" s="11"/>
      <c r="Y51" s="11"/>
      <c r="Z51" s="11"/>
    </row>
    <row r="52" ht="16.5" customHeight="1">
      <c r="A52" s="158" t="s">
        <v>195</v>
      </c>
      <c r="B52" s="159"/>
      <c r="C52" s="159"/>
      <c r="D52" s="159"/>
      <c r="E52" s="159"/>
      <c r="F52" s="159"/>
      <c r="G52" s="159"/>
      <c r="H52" s="159"/>
      <c r="I52" s="159"/>
      <c r="J52" s="159"/>
      <c r="K52" s="159"/>
      <c r="L52" s="160"/>
      <c r="M52" s="11"/>
      <c r="N52" s="11"/>
      <c r="O52" s="11"/>
      <c r="P52" s="11"/>
      <c r="Q52" s="11"/>
      <c r="R52" s="11"/>
      <c r="S52" s="11"/>
      <c r="T52" s="11"/>
      <c r="U52" s="11"/>
      <c r="V52" s="11"/>
      <c r="W52" s="11"/>
      <c r="X52" s="11"/>
      <c r="Y52" s="11"/>
      <c r="Z52" s="11"/>
    </row>
    <row r="53" ht="14.25" customHeight="1">
      <c r="B53" s="18"/>
      <c r="C53" s="18"/>
      <c r="D53" s="18"/>
      <c r="E53" s="18"/>
      <c r="F53" s="18"/>
      <c r="G53" s="18"/>
      <c r="H53" s="18"/>
      <c r="I53" s="18"/>
      <c r="J53" s="18"/>
      <c r="K53" s="18"/>
      <c r="L53" s="18"/>
    </row>
    <row r="54" ht="16.5" customHeight="1">
      <c r="A54" s="161" t="s">
        <v>197</v>
      </c>
      <c r="B54" s="162"/>
      <c r="C54" s="162"/>
      <c r="D54" s="163"/>
      <c r="E54" s="162"/>
      <c r="F54" s="162"/>
      <c r="G54" s="162"/>
      <c r="H54" s="162"/>
      <c r="I54" s="162"/>
      <c r="J54" s="162"/>
      <c r="K54" s="162"/>
      <c r="L54" s="164"/>
    </row>
    <row r="55" ht="15.0" customHeight="1">
      <c r="A55" s="165"/>
      <c r="B55" s="166" t="s">
        <v>198</v>
      </c>
      <c r="C55" s="167" t="s">
        <v>199</v>
      </c>
      <c r="D55" s="167"/>
      <c r="E55" s="167"/>
      <c r="F55" s="167"/>
      <c r="G55" s="167"/>
      <c r="H55" s="167"/>
      <c r="I55" s="167"/>
      <c r="J55" s="167"/>
      <c r="K55" s="167"/>
      <c r="L55" s="168"/>
    </row>
    <row r="56" ht="14.25" customHeight="1">
      <c r="A56" s="165"/>
      <c r="B56" s="166" t="s">
        <v>200</v>
      </c>
      <c r="C56" s="167" t="s">
        <v>201</v>
      </c>
      <c r="D56" s="167"/>
      <c r="E56" s="167"/>
      <c r="F56" s="167"/>
      <c r="G56" s="167"/>
      <c r="H56" s="167"/>
      <c r="I56" s="167"/>
      <c r="J56" s="167"/>
      <c r="K56" s="167"/>
      <c r="L56" s="168"/>
    </row>
    <row r="57" ht="33.75" customHeight="1">
      <c r="A57" s="165"/>
      <c r="B57" s="166" t="s">
        <v>198</v>
      </c>
      <c r="C57" s="169" t="s">
        <v>202</v>
      </c>
      <c r="D57" s="5"/>
      <c r="E57" s="5"/>
      <c r="F57" s="5"/>
      <c r="G57" s="5"/>
      <c r="H57" s="5"/>
      <c r="I57" s="5"/>
      <c r="J57" s="5"/>
      <c r="K57" s="5"/>
      <c r="L57" s="46"/>
      <c r="M57" s="73"/>
      <c r="N57" s="73"/>
      <c r="O57" s="73"/>
      <c r="P57" s="73"/>
      <c r="Q57" s="73"/>
      <c r="R57" s="73"/>
      <c r="S57" s="73"/>
      <c r="T57" s="73"/>
      <c r="U57" s="73"/>
      <c r="V57" s="73"/>
      <c r="W57" s="73"/>
      <c r="X57" s="73"/>
      <c r="Y57" s="73"/>
      <c r="Z57" s="73"/>
    </row>
    <row r="58" ht="33.75" customHeight="1">
      <c r="A58" s="165"/>
      <c r="B58" s="166" t="s">
        <v>203</v>
      </c>
      <c r="C58" s="169" t="s">
        <v>204</v>
      </c>
      <c r="D58" s="5"/>
      <c r="E58" s="5"/>
      <c r="F58" s="5"/>
      <c r="G58" s="5"/>
      <c r="H58" s="5"/>
      <c r="I58" s="5"/>
      <c r="J58" s="5"/>
      <c r="K58" s="5"/>
      <c r="L58" s="46"/>
      <c r="M58" s="73"/>
      <c r="N58" s="73"/>
      <c r="O58" s="73"/>
      <c r="P58" s="73"/>
      <c r="Q58" s="73"/>
      <c r="R58" s="73"/>
      <c r="S58" s="73"/>
      <c r="T58" s="73"/>
      <c r="U58" s="73"/>
      <c r="V58" s="73"/>
      <c r="W58" s="73"/>
      <c r="X58" s="73"/>
      <c r="Y58" s="73"/>
      <c r="Z58" s="73"/>
    </row>
    <row r="59" ht="33.75" customHeight="1">
      <c r="A59" s="165"/>
      <c r="B59" s="166" t="s">
        <v>205</v>
      </c>
      <c r="C59" s="169" t="s">
        <v>206</v>
      </c>
      <c r="D59" s="5"/>
      <c r="E59" s="5"/>
      <c r="F59" s="5"/>
      <c r="G59" s="5"/>
      <c r="H59" s="5"/>
      <c r="I59" s="5"/>
      <c r="J59" s="5"/>
      <c r="K59" s="5"/>
      <c r="L59" s="46"/>
      <c r="M59" s="73"/>
      <c r="N59" s="73"/>
      <c r="O59" s="73"/>
      <c r="P59" s="73"/>
      <c r="Q59" s="73"/>
      <c r="R59" s="73"/>
      <c r="S59" s="73"/>
      <c r="T59" s="73"/>
      <c r="U59" s="73"/>
      <c r="V59" s="73"/>
      <c r="W59" s="73"/>
      <c r="X59" s="73"/>
      <c r="Y59" s="73"/>
      <c r="Z59" s="73"/>
    </row>
    <row r="60" ht="30.75" customHeight="1">
      <c r="A60" s="165"/>
      <c r="B60" s="166" t="s">
        <v>207</v>
      </c>
      <c r="C60" s="169" t="s">
        <v>208</v>
      </c>
      <c r="D60" s="5"/>
      <c r="E60" s="5"/>
      <c r="F60" s="5"/>
      <c r="G60" s="5"/>
      <c r="H60" s="5"/>
      <c r="I60" s="5"/>
      <c r="J60" s="5"/>
      <c r="K60" s="5"/>
      <c r="L60" s="46"/>
    </row>
    <row r="61" ht="30.75" customHeight="1">
      <c r="A61" s="165"/>
      <c r="B61" s="166" t="s">
        <v>209</v>
      </c>
      <c r="C61" s="169" t="s">
        <v>210</v>
      </c>
      <c r="D61" s="5"/>
      <c r="E61" s="5"/>
      <c r="F61" s="5"/>
      <c r="G61" s="5"/>
      <c r="H61" s="5"/>
      <c r="I61" s="5"/>
      <c r="J61" s="5"/>
      <c r="K61" s="5"/>
      <c r="L61" s="46"/>
    </row>
    <row r="62" ht="30.75" customHeight="1">
      <c r="A62" s="165"/>
      <c r="B62" s="166" t="s">
        <v>211</v>
      </c>
      <c r="C62" s="169" t="s">
        <v>212</v>
      </c>
      <c r="D62" s="5"/>
      <c r="E62" s="5"/>
      <c r="F62" s="5"/>
      <c r="G62" s="5"/>
      <c r="H62" s="5"/>
      <c r="I62" s="5"/>
      <c r="J62" s="5"/>
      <c r="K62" s="5"/>
      <c r="L62" s="46"/>
    </row>
    <row r="63" ht="14.25" customHeight="1">
      <c r="A63" s="165"/>
      <c r="B63" s="166" t="s">
        <v>213</v>
      </c>
      <c r="C63" s="169" t="s">
        <v>214</v>
      </c>
      <c r="D63" s="5"/>
      <c r="E63" s="5"/>
      <c r="F63" s="5"/>
      <c r="G63" s="5"/>
      <c r="H63" s="5"/>
      <c r="I63" s="5"/>
      <c r="J63" s="5"/>
      <c r="K63" s="5"/>
      <c r="L63" s="46"/>
    </row>
    <row r="64" ht="15.75" customHeight="1">
      <c r="A64" s="165"/>
      <c r="B64" s="166" t="s">
        <v>216</v>
      </c>
      <c r="C64" s="167" t="s">
        <v>217</v>
      </c>
      <c r="D64" s="167"/>
      <c r="E64" s="167"/>
      <c r="F64" s="167"/>
      <c r="G64" s="167"/>
      <c r="H64" s="167"/>
      <c r="I64" s="167"/>
      <c r="J64" s="167"/>
      <c r="K64" s="167"/>
      <c r="L64" s="168"/>
    </row>
    <row r="65" ht="15.75" customHeight="1">
      <c r="A65" s="174"/>
      <c r="B65" s="175" t="s">
        <v>218</v>
      </c>
      <c r="C65" s="177" t="s">
        <v>219</v>
      </c>
      <c r="D65" s="177"/>
      <c r="E65" s="177"/>
      <c r="F65" s="177"/>
      <c r="G65" s="177"/>
      <c r="H65" s="177"/>
      <c r="I65" s="177"/>
      <c r="J65" s="177"/>
      <c r="K65" s="177"/>
      <c r="L65" s="178"/>
    </row>
    <row r="66" ht="15.75" customHeight="1">
      <c r="D66" s="8"/>
    </row>
    <row r="67" ht="15.75" customHeight="1">
      <c r="A67" s="11" t="s">
        <v>220</v>
      </c>
      <c r="D67" s="8"/>
    </row>
    <row r="68" ht="15.75" customHeight="1">
      <c r="A68" s="11" t="s">
        <v>221</v>
      </c>
      <c r="D68" s="8"/>
    </row>
    <row r="69" ht="15.75" customHeight="1">
      <c r="A69" s="68" t="s">
        <v>222</v>
      </c>
      <c r="D69" s="8"/>
    </row>
    <row r="70" ht="15.75" customHeight="1">
      <c r="A70" s="181" t="s">
        <v>223</v>
      </c>
      <c r="D70" s="8"/>
    </row>
    <row r="71" ht="15.75" customHeight="1">
      <c r="A71" s="181" t="s">
        <v>225</v>
      </c>
      <c r="D71" s="8"/>
    </row>
    <row r="72" ht="15.75" customHeight="1">
      <c r="A72" s="181"/>
      <c r="D72" s="8"/>
    </row>
    <row r="73" ht="15.75" customHeight="1">
      <c r="A73" s="11" t="s">
        <v>227</v>
      </c>
      <c r="D73" s="8"/>
    </row>
    <row r="74" ht="15.75" customHeight="1">
      <c r="A74" s="68" t="s">
        <v>222</v>
      </c>
      <c r="D74" s="8"/>
    </row>
    <row r="75" ht="15.75" customHeight="1">
      <c r="A75" s="181" t="s">
        <v>228</v>
      </c>
      <c r="D75" s="8"/>
    </row>
    <row r="76" ht="15.75" customHeight="1">
      <c r="A76" s="181"/>
      <c r="D76" s="8"/>
    </row>
    <row r="77" ht="15.75" customHeight="1">
      <c r="A77" s="11" t="s">
        <v>229</v>
      </c>
      <c r="D77" s="8"/>
    </row>
    <row r="78" ht="15.75" customHeight="1">
      <c r="A78" s="183" t="s">
        <v>230</v>
      </c>
      <c r="D78" s="8"/>
    </row>
    <row r="79" ht="15.75" customHeight="1">
      <c r="A79" s="181" t="s">
        <v>231</v>
      </c>
      <c r="D79" s="8"/>
    </row>
    <row r="80" ht="15.75" customHeight="1">
      <c r="A80" s="181"/>
      <c r="D80" s="8"/>
    </row>
    <row r="81" ht="15.75" customHeight="1">
      <c r="A81" s="11" t="s">
        <v>232</v>
      </c>
      <c r="D81" s="8"/>
    </row>
    <row r="82" ht="15.75" customHeight="1">
      <c r="A82" s="181" t="s">
        <v>233</v>
      </c>
      <c r="D82" s="8"/>
    </row>
    <row r="83" ht="15.75" customHeight="1">
      <c r="D83" s="8"/>
    </row>
    <row r="84" ht="15.75" customHeight="1">
      <c r="A84" s="11" t="s">
        <v>237</v>
      </c>
      <c r="D84" s="8"/>
    </row>
    <row r="85" ht="29.25" customHeight="1">
      <c r="A85" s="184" t="s">
        <v>239</v>
      </c>
    </row>
    <row r="86" ht="15.75" customHeight="1">
      <c r="D86" s="8"/>
    </row>
    <row r="87" ht="15.75" customHeight="1">
      <c r="D87" s="8"/>
    </row>
    <row r="88" ht="15.75" customHeight="1">
      <c r="D88" s="8"/>
    </row>
    <row r="89" ht="15.75" customHeight="1">
      <c r="D89" s="8"/>
    </row>
    <row r="90" ht="15.75" customHeight="1">
      <c r="D90" s="8"/>
    </row>
    <row r="91" ht="29.25" customHeight="1">
      <c r="D91" s="8"/>
    </row>
    <row r="92" ht="15.75" customHeight="1">
      <c r="D92" s="8"/>
    </row>
    <row r="93" ht="15.75" customHeight="1">
      <c r="D93" s="8"/>
    </row>
    <row r="94" ht="15.75" customHeight="1">
      <c r="D94" s="8"/>
    </row>
    <row r="95" ht="15.75" customHeight="1">
      <c r="D95" s="8"/>
    </row>
    <row r="96" ht="15.75" customHeight="1">
      <c r="D96" s="8"/>
    </row>
    <row r="97" ht="15.75" customHeight="1">
      <c r="D97" s="8"/>
    </row>
    <row r="98" ht="15.75" customHeight="1">
      <c r="D98" s="8"/>
    </row>
    <row r="99" ht="15.75" customHeight="1">
      <c r="D99" s="8"/>
    </row>
    <row r="100" ht="15.75" customHeight="1">
      <c r="D100" s="8"/>
    </row>
    <row r="101" ht="15.75" customHeight="1">
      <c r="D101" s="8"/>
    </row>
    <row r="102" ht="15.75" customHeight="1">
      <c r="D102" s="8"/>
    </row>
    <row r="103" ht="15.75" customHeight="1">
      <c r="D103" s="8"/>
    </row>
    <row r="104" ht="15.75" customHeight="1">
      <c r="D104" s="8"/>
    </row>
    <row r="105" ht="15.75" customHeight="1">
      <c r="D105" s="8"/>
    </row>
    <row r="106" ht="15.75" customHeight="1">
      <c r="D106" s="8"/>
    </row>
    <row r="107" ht="15.75" customHeight="1">
      <c r="D107" s="8"/>
    </row>
    <row r="108" ht="15.75" customHeight="1">
      <c r="D108" s="8"/>
    </row>
    <row r="109" ht="15.75" customHeight="1">
      <c r="D109" s="8"/>
    </row>
    <row r="110" ht="15.75" customHeight="1">
      <c r="D110" s="8"/>
    </row>
    <row r="111" ht="15.75" customHeight="1">
      <c r="D111" s="8"/>
    </row>
    <row r="112" ht="15.75" customHeight="1">
      <c r="D112" s="8"/>
    </row>
    <row r="113" ht="15.75" customHeight="1">
      <c r="D113" s="8"/>
    </row>
    <row r="114" ht="15.75" customHeight="1">
      <c r="D114" s="8"/>
    </row>
    <row r="115" ht="15.75" customHeight="1">
      <c r="D115" s="8"/>
    </row>
    <row r="116" ht="15.75" customHeight="1">
      <c r="D116" s="8"/>
    </row>
    <row r="117" ht="15.75" customHeight="1">
      <c r="D117" s="8"/>
    </row>
    <row r="118" ht="15.75" customHeight="1">
      <c r="D118" s="8"/>
    </row>
    <row r="119" ht="15.75" customHeight="1">
      <c r="D119" s="8"/>
    </row>
    <row r="120" ht="15.75" customHeight="1">
      <c r="D120" s="8"/>
    </row>
    <row r="121" ht="15.75" customHeight="1">
      <c r="D121" s="8"/>
    </row>
    <row r="122" ht="15.75" customHeight="1">
      <c r="D122" s="8"/>
    </row>
    <row r="123" ht="15.75" customHeight="1">
      <c r="D123" s="8"/>
    </row>
    <row r="124" ht="15.75" customHeight="1">
      <c r="D124" s="8"/>
    </row>
    <row r="125" ht="15.75" customHeight="1">
      <c r="D125" s="8"/>
    </row>
    <row r="126" ht="15.75" customHeight="1">
      <c r="D126" s="8"/>
    </row>
    <row r="127" ht="15.75" customHeight="1">
      <c r="D127" s="8"/>
    </row>
    <row r="128" ht="15.75" customHeight="1">
      <c r="D128" s="8"/>
    </row>
    <row r="129" ht="15.75" customHeight="1">
      <c r="D129" s="8"/>
    </row>
    <row r="130" ht="15.75" customHeight="1">
      <c r="D130" s="8"/>
    </row>
    <row r="131" ht="15.75" customHeight="1">
      <c r="D131" s="8"/>
    </row>
    <row r="132" ht="15.75" customHeight="1">
      <c r="D132" s="8"/>
    </row>
    <row r="133" ht="15.75" customHeight="1">
      <c r="D133" s="8"/>
    </row>
    <row r="134" ht="15.75" customHeight="1">
      <c r="D134" s="8"/>
    </row>
    <row r="135" ht="15.75" customHeight="1">
      <c r="D135" s="8"/>
    </row>
    <row r="136" ht="15.75" customHeight="1">
      <c r="D136" s="8"/>
    </row>
    <row r="137" ht="15.75" customHeight="1">
      <c r="D137" s="8"/>
    </row>
    <row r="138" ht="15.75" customHeight="1">
      <c r="D138" s="8"/>
    </row>
    <row r="139" ht="15.75" customHeight="1">
      <c r="D139" s="8"/>
    </row>
    <row r="140" ht="15.75" customHeight="1">
      <c r="D140" s="8"/>
    </row>
    <row r="141" ht="15.75" customHeight="1">
      <c r="D141" s="8"/>
    </row>
    <row r="142" ht="15.75" customHeight="1">
      <c r="D142" s="8"/>
    </row>
    <row r="143" ht="15.75" customHeight="1">
      <c r="D143" s="8"/>
    </row>
    <row r="144" ht="15.75" customHeight="1">
      <c r="D144" s="8"/>
    </row>
    <row r="145" ht="15.75" customHeight="1">
      <c r="D145" s="8"/>
    </row>
    <row r="146" ht="15.75" customHeight="1">
      <c r="D146" s="8"/>
    </row>
    <row r="147" ht="15.75" customHeight="1">
      <c r="D147" s="8"/>
    </row>
    <row r="148" ht="15.75" customHeight="1">
      <c r="D148" s="8"/>
    </row>
    <row r="149" ht="15.75" customHeight="1">
      <c r="D149" s="8"/>
    </row>
    <row r="150" ht="15.75" customHeight="1">
      <c r="D150" s="8"/>
    </row>
    <row r="151" ht="15.75" customHeight="1">
      <c r="D151" s="8"/>
    </row>
    <row r="152" ht="15.75" customHeight="1">
      <c r="D152" s="8"/>
    </row>
    <row r="153" ht="15.75" customHeight="1">
      <c r="D153" s="8"/>
    </row>
    <row r="154" ht="15.75" customHeight="1">
      <c r="D154" s="8"/>
    </row>
    <row r="155" ht="15.75" customHeight="1">
      <c r="D155" s="8"/>
    </row>
    <row r="156" ht="15.75" customHeight="1">
      <c r="D156" s="8"/>
    </row>
    <row r="157" ht="15.75" customHeight="1">
      <c r="D157" s="8"/>
    </row>
    <row r="158" ht="15.75" customHeight="1">
      <c r="D158" s="8"/>
    </row>
    <row r="159" ht="15.75" customHeight="1">
      <c r="D159" s="8"/>
    </row>
    <row r="160" ht="15.75" customHeight="1">
      <c r="D160" s="8"/>
    </row>
    <row r="161" ht="15.75" customHeight="1">
      <c r="D161" s="8"/>
    </row>
    <row r="162" ht="15.75" customHeight="1">
      <c r="D162" s="8"/>
    </row>
    <row r="163" ht="15.75" customHeight="1">
      <c r="D163" s="8"/>
    </row>
    <row r="164" ht="15.75" customHeight="1">
      <c r="D164" s="8"/>
    </row>
    <row r="165" ht="15.75" customHeight="1">
      <c r="D165" s="8"/>
    </row>
    <row r="166" ht="15.75" customHeight="1">
      <c r="D166" s="8"/>
    </row>
    <row r="167" ht="15.75" customHeight="1">
      <c r="D167" s="8"/>
    </row>
    <row r="168" ht="15.75" customHeight="1">
      <c r="D168" s="8"/>
    </row>
    <row r="169" ht="15.75" customHeight="1">
      <c r="D169" s="8"/>
    </row>
    <row r="170" ht="15.75" customHeight="1">
      <c r="D170" s="8"/>
    </row>
    <row r="171" ht="15.75" customHeight="1">
      <c r="D171" s="8"/>
    </row>
    <row r="172" ht="15.75" customHeight="1">
      <c r="D172" s="8"/>
    </row>
    <row r="173" ht="15.75" customHeight="1">
      <c r="D173" s="8"/>
    </row>
    <row r="174" ht="15.75" customHeight="1">
      <c r="D174" s="8"/>
    </row>
    <row r="175" ht="15.75" customHeight="1">
      <c r="D175" s="8"/>
    </row>
    <row r="176" ht="15.75" customHeight="1">
      <c r="D176" s="8"/>
    </row>
    <row r="177" ht="15.75" customHeight="1">
      <c r="D177" s="8"/>
    </row>
    <row r="178" ht="15.75" customHeight="1">
      <c r="D178" s="8"/>
    </row>
    <row r="179" ht="15.75" customHeight="1">
      <c r="D179" s="8"/>
    </row>
    <row r="180" ht="15.75" customHeight="1">
      <c r="D180" s="8"/>
    </row>
    <row r="181" ht="15.75" customHeight="1">
      <c r="D181" s="8"/>
    </row>
    <row r="182" ht="15.75" customHeight="1">
      <c r="D182" s="8"/>
    </row>
    <row r="183" ht="15.75" customHeight="1">
      <c r="D183" s="8"/>
    </row>
    <row r="184" ht="15.75" customHeight="1">
      <c r="D184" s="8"/>
    </row>
    <row r="185" ht="15.75" customHeight="1">
      <c r="D185" s="8"/>
    </row>
    <row r="186" ht="15.75" customHeight="1">
      <c r="D186" s="8"/>
    </row>
    <row r="187" ht="15.75" customHeight="1">
      <c r="D187" s="8"/>
    </row>
    <row r="188" ht="15.75" customHeight="1">
      <c r="D188" s="8"/>
    </row>
    <row r="189" ht="15.75" customHeight="1">
      <c r="D189" s="8"/>
    </row>
    <row r="190" ht="15.75" customHeight="1">
      <c r="D190" s="8"/>
    </row>
    <row r="191" ht="15.75" customHeight="1">
      <c r="D191" s="8"/>
    </row>
    <row r="192" ht="15.75" customHeight="1">
      <c r="D192" s="8"/>
    </row>
    <row r="193" ht="15.75" customHeight="1">
      <c r="D193" s="8"/>
    </row>
    <row r="194" ht="15.75" customHeight="1">
      <c r="D194" s="8"/>
    </row>
    <row r="195" ht="15.75" customHeight="1">
      <c r="D195" s="8"/>
    </row>
    <row r="196" ht="15.75" customHeight="1">
      <c r="D196" s="8"/>
    </row>
    <row r="197" ht="15.75" customHeight="1">
      <c r="D197" s="8"/>
    </row>
    <row r="198" ht="15.75" customHeight="1">
      <c r="D198" s="8"/>
    </row>
    <row r="199" ht="15.75" customHeight="1">
      <c r="D199" s="8"/>
    </row>
    <row r="200" ht="15.75" customHeight="1">
      <c r="D200" s="8"/>
    </row>
    <row r="201" ht="15.75" customHeight="1">
      <c r="D201" s="8"/>
    </row>
    <row r="202" ht="15.75" customHeight="1">
      <c r="D202" s="8"/>
    </row>
    <row r="203" ht="15.75" customHeight="1">
      <c r="D203" s="8"/>
    </row>
    <row r="204" ht="15.75" customHeight="1">
      <c r="D204" s="8"/>
    </row>
    <row r="205" ht="15.75" customHeight="1">
      <c r="D205" s="8"/>
    </row>
    <row r="206" ht="15.75" customHeight="1">
      <c r="D206" s="8"/>
    </row>
    <row r="207" ht="15.75" customHeight="1">
      <c r="D207" s="8"/>
    </row>
    <row r="208" ht="15.75" customHeight="1">
      <c r="D208" s="8"/>
    </row>
    <row r="209" ht="15.75" customHeight="1">
      <c r="D209" s="8"/>
    </row>
    <row r="210" ht="15.75" customHeight="1">
      <c r="D210" s="8"/>
    </row>
    <row r="211" ht="15.75" customHeight="1">
      <c r="D211" s="8"/>
    </row>
    <row r="212" ht="15.75" customHeight="1">
      <c r="D212" s="8"/>
    </row>
    <row r="213" ht="15.75" customHeight="1">
      <c r="D213" s="8"/>
    </row>
    <row r="214" ht="15.75" customHeight="1">
      <c r="D214" s="8"/>
    </row>
    <row r="215" ht="15.75" customHeight="1">
      <c r="D215" s="8"/>
    </row>
    <row r="216" ht="15.75" customHeight="1">
      <c r="D216" s="8"/>
    </row>
    <row r="217" ht="15.75" customHeight="1">
      <c r="D217" s="8"/>
    </row>
    <row r="218" ht="15.75" customHeight="1">
      <c r="D218" s="8"/>
    </row>
    <row r="219" ht="15.75" customHeight="1">
      <c r="D219" s="8"/>
    </row>
    <row r="220" ht="15.75" customHeight="1">
      <c r="D220" s="8"/>
    </row>
    <row r="221" ht="15.75" customHeight="1">
      <c r="D221" s="8"/>
    </row>
    <row r="222" ht="15.75" customHeight="1">
      <c r="D222" s="8"/>
    </row>
    <row r="223" ht="15.75" customHeight="1">
      <c r="D223" s="8"/>
    </row>
    <row r="224" ht="15.75" customHeight="1">
      <c r="D224" s="8"/>
    </row>
    <row r="225" ht="15.75" customHeight="1">
      <c r="D225" s="8"/>
    </row>
    <row r="226" ht="15.75" customHeight="1">
      <c r="D226" s="8"/>
    </row>
    <row r="227" ht="15.75" customHeight="1">
      <c r="D227" s="8"/>
    </row>
    <row r="228" ht="15.75" customHeight="1">
      <c r="D228" s="8"/>
    </row>
    <row r="229" ht="15.75" customHeight="1">
      <c r="D229" s="8"/>
    </row>
    <row r="230" ht="15.75" customHeight="1">
      <c r="D230" s="8"/>
    </row>
    <row r="231" ht="15.75" customHeight="1">
      <c r="D231" s="8"/>
    </row>
    <row r="232" ht="15.75" customHeight="1">
      <c r="D232" s="8"/>
    </row>
    <row r="233" ht="15.75" customHeight="1">
      <c r="D233" s="8"/>
    </row>
    <row r="234" ht="15.75" customHeight="1">
      <c r="D234" s="8"/>
    </row>
    <row r="235" ht="15.75" customHeight="1">
      <c r="D235" s="8"/>
    </row>
    <row r="236" ht="15.75" customHeight="1">
      <c r="D236" s="8"/>
    </row>
    <row r="237" ht="15.75" customHeight="1">
      <c r="D237" s="8"/>
    </row>
    <row r="238" ht="15.75" customHeight="1">
      <c r="D238" s="8"/>
    </row>
    <row r="239" ht="15.75" customHeight="1">
      <c r="D239" s="8"/>
    </row>
    <row r="240" ht="15.75" customHeight="1">
      <c r="D240" s="8"/>
    </row>
    <row r="241" ht="15.75" customHeight="1">
      <c r="D241" s="8"/>
    </row>
    <row r="242" ht="15.75" customHeight="1">
      <c r="D242" s="8"/>
    </row>
    <row r="243" ht="15.75" customHeight="1">
      <c r="D243" s="8"/>
    </row>
    <row r="244" ht="15.75" customHeight="1">
      <c r="D244" s="8"/>
    </row>
    <row r="245" ht="15.75" customHeight="1">
      <c r="D245" s="8"/>
    </row>
    <row r="246" ht="15.75" customHeight="1">
      <c r="D246" s="8"/>
    </row>
    <row r="247" ht="15.75" customHeight="1">
      <c r="D247" s="8"/>
    </row>
    <row r="248" ht="15.75" customHeight="1">
      <c r="D248" s="8"/>
    </row>
    <row r="249" ht="15.75" customHeight="1">
      <c r="D249" s="8"/>
    </row>
    <row r="250" ht="15.75" customHeight="1">
      <c r="D250" s="8"/>
    </row>
    <row r="251" ht="15.75" customHeight="1">
      <c r="D251" s="8"/>
    </row>
    <row r="252" ht="15.75" customHeight="1">
      <c r="D252" s="8"/>
    </row>
    <row r="253" ht="15.75" customHeight="1">
      <c r="D253" s="8"/>
    </row>
    <row r="254" ht="15.75" customHeight="1">
      <c r="D254" s="8"/>
    </row>
    <row r="255" ht="15.75" customHeight="1">
      <c r="D255" s="8"/>
    </row>
    <row r="256" ht="15.75" customHeight="1">
      <c r="D256" s="8"/>
    </row>
    <row r="257" ht="15.75" customHeight="1">
      <c r="D257" s="8"/>
    </row>
    <row r="258" ht="15.75" customHeight="1">
      <c r="D258" s="8"/>
    </row>
    <row r="259" ht="15.75" customHeight="1">
      <c r="D259" s="8"/>
    </row>
    <row r="260" ht="15.75" customHeight="1">
      <c r="D260" s="8"/>
    </row>
    <row r="261" ht="15.75" customHeight="1">
      <c r="D261" s="8"/>
    </row>
    <row r="262" ht="15.75" customHeight="1">
      <c r="D262" s="8"/>
    </row>
    <row r="263" ht="15.75" customHeight="1">
      <c r="D263" s="8"/>
    </row>
    <row r="264" ht="15.75" customHeight="1">
      <c r="D264" s="8"/>
    </row>
    <row r="265" ht="15.75" customHeight="1">
      <c r="D265" s="8"/>
    </row>
    <row r="266" ht="15.75" customHeight="1">
      <c r="D266" s="8"/>
    </row>
    <row r="267" ht="15.75" customHeight="1">
      <c r="D267" s="8"/>
    </row>
    <row r="268" ht="15.75" customHeight="1">
      <c r="D268" s="8"/>
    </row>
    <row r="269" ht="15.75" customHeight="1">
      <c r="D269" s="8"/>
    </row>
    <row r="270" ht="15.75" customHeight="1">
      <c r="D270" s="8"/>
    </row>
    <row r="271" ht="15.75" customHeight="1">
      <c r="D271" s="8"/>
    </row>
    <row r="272" ht="15.75" customHeight="1">
      <c r="D272" s="8"/>
    </row>
    <row r="273" ht="15.75" customHeight="1">
      <c r="D273" s="8"/>
    </row>
    <row r="274" ht="15.75" customHeight="1">
      <c r="D274" s="8"/>
    </row>
    <row r="275" ht="15.75" customHeight="1">
      <c r="D275" s="8"/>
    </row>
    <row r="276" ht="15.75" customHeight="1">
      <c r="D276" s="8"/>
    </row>
    <row r="277" ht="15.75" customHeight="1">
      <c r="D277" s="8"/>
    </row>
    <row r="278" ht="15.75" customHeight="1">
      <c r="D278" s="8"/>
    </row>
    <row r="279" ht="15.75" customHeight="1">
      <c r="D279" s="8"/>
    </row>
    <row r="280" ht="15.75" customHeight="1">
      <c r="D280" s="8"/>
    </row>
    <row r="281" ht="15.75" customHeight="1">
      <c r="D281" s="8"/>
    </row>
    <row r="282" ht="15.75" customHeight="1">
      <c r="D282" s="8"/>
    </row>
    <row r="283" ht="15.75" customHeight="1">
      <c r="D283" s="8"/>
    </row>
    <row r="284" ht="15.75" customHeight="1">
      <c r="D284" s="8"/>
    </row>
    <row r="285" ht="15.75" customHeight="1">
      <c r="D285" s="8"/>
    </row>
    <row r="286" ht="15.75" customHeight="1">
      <c r="D286" s="8"/>
    </row>
    <row r="287" ht="15.75" customHeight="1">
      <c r="D287" s="8"/>
    </row>
    <row r="288" ht="15.75" customHeight="1">
      <c r="D288" s="8"/>
    </row>
    <row r="289" ht="15.75" customHeight="1">
      <c r="D289" s="8"/>
    </row>
    <row r="290" ht="15.75" customHeight="1">
      <c r="D290" s="8"/>
    </row>
    <row r="291" ht="15.75" customHeight="1">
      <c r="D291" s="8"/>
    </row>
    <row r="292" ht="15.75" customHeight="1">
      <c r="D292" s="8"/>
    </row>
    <row r="293" ht="15.75" customHeight="1">
      <c r="D293" s="8"/>
    </row>
    <row r="294" ht="15.75" customHeight="1">
      <c r="D294" s="8"/>
    </row>
    <row r="295" ht="15.75" customHeight="1">
      <c r="D295" s="8"/>
    </row>
    <row r="296" ht="15.75" customHeight="1">
      <c r="D296" s="8"/>
    </row>
    <row r="297" ht="15.75" customHeight="1">
      <c r="D297" s="8"/>
    </row>
    <row r="298" ht="15.75" customHeight="1">
      <c r="D298" s="8"/>
    </row>
    <row r="299" ht="15.75" customHeight="1">
      <c r="D299" s="8"/>
    </row>
    <row r="300" ht="15.75" customHeight="1">
      <c r="D300" s="8"/>
    </row>
    <row r="301" ht="15.75" customHeight="1">
      <c r="D301" s="8"/>
    </row>
    <row r="302" ht="15.75" customHeight="1">
      <c r="D302" s="8"/>
    </row>
    <row r="303" ht="15.75" customHeight="1">
      <c r="D303" s="8"/>
    </row>
    <row r="304" ht="15.75" customHeight="1">
      <c r="D304" s="8"/>
    </row>
    <row r="305" ht="15.75" customHeight="1">
      <c r="D305" s="8"/>
    </row>
    <row r="306" ht="15.75" customHeight="1">
      <c r="D306" s="8"/>
    </row>
    <row r="307" ht="15.75" customHeight="1">
      <c r="D307" s="8"/>
    </row>
    <row r="308" ht="15.75" customHeight="1">
      <c r="D308" s="8"/>
    </row>
    <row r="309" ht="15.75" customHeight="1">
      <c r="D309" s="8"/>
    </row>
    <row r="310" ht="15.75" customHeight="1">
      <c r="D310" s="8"/>
    </row>
    <row r="311" ht="15.75" customHeight="1">
      <c r="D311" s="8"/>
    </row>
    <row r="312" ht="15.75" customHeight="1">
      <c r="D312" s="8"/>
    </row>
    <row r="313" ht="15.75" customHeight="1">
      <c r="D313" s="8"/>
    </row>
    <row r="314" ht="15.75" customHeight="1">
      <c r="D314" s="8"/>
    </row>
    <row r="315" ht="15.75" customHeight="1">
      <c r="D315" s="8"/>
    </row>
    <row r="316" ht="15.75" customHeight="1">
      <c r="D316" s="8"/>
    </row>
    <row r="317" ht="15.75" customHeight="1">
      <c r="D317" s="8"/>
    </row>
    <row r="318" ht="15.75" customHeight="1">
      <c r="D318" s="8"/>
    </row>
    <row r="319" ht="15.75" customHeight="1">
      <c r="D319" s="8"/>
    </row>
    <row r="320" ht="15.75" customHeight="1">
      <c r="D320" s="8"/>
    </row>
    <row r="321" ht="15.75" customHeight="1">
      <c r="D321" s="8"/>
    </row>
    <row r="322" ht="15.75" customHeight="1">
      <c r="D322" s="8"/>
    </row>
    <row r="323" ht="15.75" customHeight="1">
      <c r="D323" s="8"/>
    </row>
    <row r="324" ht="15.75" customHeight="1">
      <c r="D324" s="8"/>
    </row>
    <row r="325" ht="15.75" customHeight="1">
      <c r="D325" s="8"/>
    </row>
    <row r="326" ht="15.75" customHeight="1">
      <c r="D326" s="8"/>
    </row>
    <row r="327" ht="15.75" customHeight="1">
      <c r="D327" s="8"/>
    </row>
    <row r="328" ht="15.75" customHeight="1">
      <c r="D328" s="8"/>
    </row>
    <row r="329" ht="15.75" customHeight="1">
      <c r="D329" s="8"/>
    </row>
    <row r="330" ht="15.75" customHeight="1">
      <c r="D330" s="8"/>
    </row>
    <row r="331" ht="15.75" customHeight="1">
      <c r="D331" s="8"/>
    </row>
    <row r="332" ht="15.75" customHeight="1">
      <c r="D332" s="8"/>
    </row>
    <row r="333" ht="15.75" customHeight="1">
      <c r="D333" s="8"/>
    </row>
    <row r="334" ht="15.75" customHeight="1">
      <c r="D334" s="8"/>
    </row>
    <row r="335" ht="15.75" customHeight="1">
      <c r="D335" s="8"/>
    </row>
    <row r="336" ht="15.75" customHeight="1">
      <c r="D336" s="8"/>
    </row>
    <row r="337" ht="15.75" customHeight="1">
      <c r="D337" s="8"/>
    </row>
    <row r="338" ht="15.75" customHeight="1">
      <c r="D338" s="8"/>
    </row>
    <row r="339" ht="15.75" customHeight="1">
      <c r="D339" s="8"/>
    </row>
    <row r="340" ht="15.75" customHeight="1">
      <c r="D340" s="8"/>
    </row>
    <row r="341" ht="15.75" customHeight="1">
      <c r="D341" s="8"/>
    </row>
    <row r="342" ht="15.75" customHeight="1">
      <c r="D342" s="8"/>
    </row>
    <row r="343" ht="15.75" customHeight="1">
      <c r="D343" s="8"/>
    </row>
    <row r="344" ht="15.75" customHeight="1">
      <c r="D344" s="8"/>
    </row>
    <row r="345" ht="15.75" customHeight="1">
      <c r="D345" s="8"/>
    </row>
    <row r="346" ht="15.75" customHeight="1">
      <c r="D346" s="8"/>
    </row>
    <row r="347" ht="15.75" customHeight="1">
      <c r="D347" s="8"/>
    </row>
    <row r="348" ht="15.75" customHeight="1">
      <c r="D348" s="8"/>
    </row>
    <row r="349" ht="15.75" customHeight="1">
      <c r="D349" s="8"/>
    </row>
    <row r="350" ht="15.75" customHeight="1">
      <c r="D350" s="8"/>
    </row>
    <row r="351" ht="15.75" customHeight="1">
      <c r="D351" s="8"/>
    </row>
    <row r="352" ht="15.75" customHeight="1">
      <c r="D352" s="8"/>
    </row>
    <row r="353" ht="15.75" customHeight="1">
      <c r="D353" s="8"/>
    </row>
    <row r="354" ht="15.75" customHeight="1">
      <c r="D354" s="8"/>
    </row>
    <row r="355" ht="15.75" customHeight="1">
      <c r="D355" s="8"/>
    </row>
    <row r="356" ht="15.75" customHeight="1">
      <c r="D356" s="8"/>
    </row>
    <row r="357" ht="15.75" customHeight="1">
      <c r="D357" s="8"/>
    </row>
    <row r="358" ht="15.75" customHeight="1">
      <c r="D358" s="8"/>
    </row>
    <row r="359" ht="15.75" customHeight="1">
      <c r="D359" s="8"/>
    </row>
    <row r="360" ht="15.75" customHeight="1">
      <c r="D360" s="8"/>
    </row>
    <row r="361" ht="15.75" customHeight="1">
      <c r="D361" s="8"/>
    </row>
    <row r="362" ht="15.75" customHeight="1">
      <c r="D362" s="8"/>
    </row>
    <row r="363" ht="15.75" customHeight="1">
      <c r="D363" s="8"/>
    </row>
    <row r="364" ht="15.75" customHeight="1">
      <c r="D364" s="8"/>
    </row>
    <row r="365" ht="15.75" customHeight="1">
      <c r="D365" s="8"/>
    </row>
    <row r="366" ht="15.75" customHeight="1">
      <c r="D366" s="8"/>
    </row>
    <row r="367" ht="15.75" customHeight="1">
      <c r="D367" s="8"/>
    </row>
    <row r="368" ht="15.75" customHeight="1">
      <c r="D368" s="8"/>
    </row>
    <row r="369" ht="15.75" customHeight="1">
      <c r="D369" s="8"/>
    </row>
    <row r="370" ht="15.75" customHeight="1">
      <c r="D370" s="8"/>
    </row>
    <row r="371" ht="15.75" customHeight="1">
      <c r="D371" s="8"/>
    </row>
    <row r="372" ht="15.75" customHeight="1">
      <c r="D372" s="8"/>
    </row>
    <row r="373" ht="15.75" customHeight="1">
      <c r="D373" s="8"/>
    </row>
    <row r="374" ht="15.75" customHeight="1">
      <c r="D374" s="8"/>
    </row>
    <row r="375" ht="15.75" customHeight="1">
      <c r="D375" s="8"/>
    </row>
    <row r="376" ht="15.75" customHeight="1">
      <c r="D376" s="8"/>
    </row>
    <row r="377" ht="15.75" customHeight="1">
      <c r="D377" s="8"/>
    </row>
    <row r="378" ht="15.75" customHeight="1">
      <c r="D378" s="8"/>
    </row>
    <row r="379" ht="15.75" customHeight="1">
      <c r="D379" s="8"/>
    </row>
    <row r="380" ht="15.75" customHeight="1">
      <c r="D380" s="8"/>
    </row>
    <row r="381" ht="15.75" customHeight="1">
      <c r="D381" s="8"/>
    </row>
    <row r="382" ht="15.75" customHeight="1">
      <c r="D382" s="8"/>
    </row>
    <row r="383" ht="15.75" customHeight="1">
      <c r="D383" s="8"/>
    </row>
    <row r="384" ht="15.75" customHeight="1">
      <c r="D384" s="8"/>
    </row>
    <row r="385" ht="15.75" customHeight="1">
      <c r="D385" s="8"/>
    </row>
    <row r="386" ht="15.75" customHeight="1">
      <c r="D386" s="8"/>
    </row>
    <row r="387" ht="15.75" customHeight="1">
      <c r="D387" s="8"/>
    </row>
    <row r="388" ht="15.75" customHeight="1">
      <c r="D388" s="8"/>
    </row>
    <row r="389" ht="15.75" customHeight="1">
      <c r="D389" s="8"/>
    </row>
    <row r="390" ht="15.75" customHeight="1">
      <c r="D390" s="8"/>
    </row>
    <row r="391" ht="15.75" customHeight="1">
      <c r="D391" s="8"/>
    </row>
    <row r="392" ht="15.75" customHeight="1">
      <c r="D392" s="8"/>
    </row>
    <row r="393" ht="15.75" customHeight="1">
      <c r="D393" s="8"/>
    </row>
    <row r="394" ht="15.75" customHeight="1">
      <c r="D394" s="8"/>
    </row>
    <row r="395" ht="15.75" customHeight="1">
      <c r="D395" s="8"/>
    </row>
    <row r="396" ht="15.75" customHeight="1">
      <c r="D396" s="8"/>
    </row>
    <row r="397" ht="15.75" customHeight="1">
      <c r="D397" s="8"/>
    </row>
    <row r="398" ht="15.75" customHeight="1">
      <c r="D398" s="8"/>
    </row>
    <row r="399" ht="15.75" customHeight="1">
      <c r="D399" s="8"/>
    </row>
    <row r="400" ht="15.75" customHeight="1">
      <c r="D400" s="8"/>
    </row>
    <row r="401" ht="15.75" customHeight="1">
      <c r="D401" s="8"/>
    </row>
    <row r="402" ht="15.75" customHeight="1">
      <c r="D402" s="8"/>
    </row>
    <row r="403" ht="15.75" customHeight="1">
      <c r="D403" s="8"/>
    </row>
    <row r="404" ht="15.75" customHeight="1">
      <c r="D404" s="8"/>
    </row>
    <row r="405" ht="15.75" customHeight="1">
      <c r="D405" s="8"/>
    </row>
    <row r="406" ht="15.75" customHeight="1">
      <c r="D406" s="8"/>
    </row>
    <row r="407" ht="15.75" customHeight="1">
      <c r="D407" s="8"/>
    </row>
    <row r="408" ht="15.75" customHeight="1">
      <c r="D408" s="8"/>
    </row>
    <row r="409" ht="15.75" customHeight="1">
      <c r="D409" s="8"/>
    </row>
    <row r="410" ht="15.75" customHeight="1">
      <c r="D410" s="8"/>
    </row>
    <row r="411" ht="15.75" customHeight="1">
      <c r="D411" s="8"/>
    </row>
    <row r="412" ht="15.75" customHeight="1">
      <c r="D412" s="8"/>
    </row>
    <row r="413" ht="15.75" customHeight="1">
      <c r="D413" s="8"/>
    </row>
    <row r="414" ht="15.75" customHeight="1">
      <c r="D414" s="8"/>
    </row>
    <row r="415" ht="15.75" customHeight="1">
      <c r="D415" s="8"/>
    </row>
    <row r="416" ht="15.75" customHeight="1">
      <c r="D416" s="8"/>
    </row>
    <row r="417" ht="15.75" customHeight="1">
      <c r="D417" s="8"/>
    </row>
    <row r="418" ht="15.75" customHeight="1">
      <c r="D418" s="8"/>
    </row>
    <row r="419" ht="15.75" customHeight="1">
      <c r="D419" s="8"/>
    </row>
    <row r="420" ht="15.75" customHeight="1">
      <c r="D420" s="8"/>
    </row>
    <row r="421" ht="15.75" customHeight="1">
      <c r="D421" s="8"/>
    </row>
    <row r="422" ht="15.75" customHeight="1">
      <c r="D422" s="8"/>
    </row>
    <row r="423" ht="15.75" customHeight="1">
      <c r="D423" s="8"/>
    </row>
    <row r="424" ht="15.75" customHeight="1">
      <c r="D424" s="8"/>
    </row>
    <row r="425" ht="15.75" customHeight="1">
      <c r="D425" s="8"/>
    </row>
    <row r="426" ht="15.75" customHeight="1">
      <c r="D426" s="8"/>
    </row>
    <row r="427" ht="15.75" customHeight="1">
      <c r="D427" s="8"/>
    </row>
    <row r="428" ht="15.75" customHeight="1">
      <c r="D428" s="8"/>
    </row>
    <row r="429" ht="15.75" customHeight="1">
      <c r="D429" s="8"/>
    </row>
    <row r="430" ht="15.75" customHeight="1">
      <c r="D430" s="8"/>
    </row>
    <row r="431" ht="15.75" customHeight="1">
      <c r="D431" s="8"/>
    </row>
    <row r="432" ht="15.75" customHeight="1">
      <c r="D432" s="8"/>
    </row>
    <row r="433" ht="15.75" customHeight="1">
      <c r="D433" s="8"/>
    </row>
    <row r="434" ht="15.75" customHeight="1">
      <c r="D434" s="8"/>
    </row>
    <row r="435" ht="15.75" customHeight="1">
      <c r="D435" s="8"/>
    </row>
    <row r="436" ht="15.75" customHeight="1">
      <c r="D436" s="8"/>
    </row>
    <row r="437" ht="15.75" customHeight="1">
      <c r="D437" s="8"/>
    </row>
    <row r="438" ht="15.75" customHeight="1">
      <c r="D438" s="8"/>
    </row>
    <row r="439" ht="15.75" customHeight="1">
      <c r="D439" s="8"/>
    </row>
    <row r="440" ht="15.75" customHeight="1">
      <c r="D440" s="8"/>
    </row>
    <row r="441" ht="15.75" customHeight="1">
      <c r="D441" s="8"/>
    </row>
    <row r="442" ht="15.75" customHeight="1">
      <c r="D442" s="8"/>
    </row>
    <row r="443" ht="15.75" customHeight="1">
      <c r="D443" s="8"/>
    </row>
    <row r="444" ht="15.75" customHeight="1">
      <c r="D444" s="8"/>
    </row>
    <row r="445" ht="15.75" customHeight="1">
      <c r="D445" s="8"/>
    </row>
    <row r="446" ht="15.75" customHeight="1">
      <c r="D446" s="8"/>
    </row>
    <row r="447" ht="15.75" customHeight="1">
      <c r="D447" s="8"/>
    </row>
    <row r="448" ht="15.75" customHeight="1">
      <c r="D448" s="8"/>
    </row>
    <row r="449" ht="15.75" customHeight="1">
      <c r="D449" s="8"/>
    </row>
    <row r="450" ht="15.75" customHeight="1">
      <c r="D450" s="8"/>
    </row>
    <row r="451" ht="15.75" customHeight="1">
      <c r="D451" s="8"/>
    </row>
    <row r="452" ht="15.75" customHeight="1">
      <c r="D452" s="8"/>
    </row>
    <row r="453" ht="15.75" customHeight="1">
      <c r="D453" s="8"/>
    </row>
    <row r="454" ht="15.75" customHeight="1">
      <c r="D454" s="8"/>
    </row>
    <row r="455" ht="15.75" customHeight="1">
      <c r="D455" s="8"/>
    </row>
    <row r="456" ht="15.75" customHeight="1">
      <c r="D456" s="8"/>
    </row>
    <row r="457" ht="15.75" customHeight="1">
      <c r="D457" s="8"/>
    </row>
    <row r="458" ht="15.75" customHeight="1">
      <c r="D458" s="8"/>
    </row>
    <row r="459" ht="15.75" customHeight="1">
      <c r="D459" s="8"/>
    </row>
    <row r="460" ht="15.75" customHeight="1">
      <c r="D460" s="8"/>
    </row>
    <row r="461" ht="15.75" customHeight="1">
      <c r="D461" s="8"/>
    </row>
    <row r="462" ht="15.75" customHeight="1">
      <c r="D462" s="8"/>
    </row>
    <row r="463" ht="15.75" customHeight="1">
      <c r="D463" s="8"/>
    </row>
    <row r="464" ht="15.75" customHeight="1">
      <c r="D464" s="8"/>
    </row>
    <row r="465" ht="15.75" customHeight="1">
      <c r="D465" s="8"/>
    </row>
    <row r="466" ht="15.75" customHeight="1">
      <c r="D466" s="8"/>
    </row>
    <row r="467" ht="15.75" customHeight="1">
      <c r="D467" s="8"/>
    </row>
    <row r="468" ht="15.75" customHeight="1">
      <c r="D468" s="8"/>
    </row>
    <row r="469" ht="15.75" customHeight="1">
      <c r="D469" s="8"/>
    </row>
    <row r="470" ht="15.75" customHeight="1">
      <c r="D470" s="8"/>
    </row>
    <row r="471" ht="15.75" customHeight="1">
      <c r="D471" s="8"/>
    </row>
    <row r="472" ht="15.75" customHeight="1">
      <c r="D472" s="8"/>
    </row>
    <row r="473" ht="15.75" customHeight="1">
      <c r="D473" s="8"/>
    </row>
    <row r="474" ht="15.75" customHeight="1">
      <c r="D474" s="8"/>
    </row>
    <row r="475" ht="15.75" customHeight="1">
      <c r="D475" s="8"/>
    </row>
    <row r="476" ht="15.75" customHeight="1">
      <c r="D476" s="8"/>
    </row>
    <row r="477" ht="15.75" customHeight="1">
      <c r="D477" s="8"/>
    </row>
    <row r="478" ht="15.75" customHeight="1">
      <c r="D478" s="8"/>
    </row>
    <row r="479" ht="15.75" customHeight="1">
      <c r="D479" s="8"/>
    </row>
    <row r="480" ht="15.75" customHeight="1">
      <c r="D480" s="8"/>
    </row>
    <row r="481" ht="15.75" customHeight="1">
      <c r="D481" s="8"/>
    </row>
    <row r="482" ht="15.75" customHeight="1">
      <c r="D482" s="8"/>
    </row>
    <row r="483" ht="15.75" customHeight="1">
      <c r="D483" s="8"/>
    </row>
    <row r="484" ht="15.75" customHeight="1">
      <c r="D484" s="8"/>
    </row>
    <row r="485" ht="15.75" customHeight="1">
      <c r="D485" s="8"/>
    </row>
    <row r="486" ht="15.75" customHeight="1">
      <c r="D486" s="8"/>
    </row>
    <row r="487" ht="15.75" customHeight="1">
      <c r="D487" s="8"/>
    </row>
    <row r="488" ht="15.75" customHeight="1">
      <c r="D488" s="8"/>
    </row>
    <row r="489" ht="15.75" customHeight="1">
      <c r="D489" s="8"/>
    </row>
    <row r="490" ht="15.75" customHeight="1">
      <c r="D490" s="8"/>
    </row>
    <row r="491" ht="15.75" customHeight="1">
      <c r="D491" s="8"/>
    </row>
    <row r="492" ht="15.75" customHeight="1">
      <c r="D492" s="8"/>
    </row>
    <row r="493" ht="15.75" customHeight="1">
      <c r="D493" s="8"/>
    </row>
    <row r="494" ht="15.75" customHeight="1">
      <c r="D494" s="8"/>
    </row>
    <row r="495" ht="15.75" customHeight="1">
      <c r="D495" s="8"/>
    </row>
    <row r="496" ht="15.75" customHeight="1">
      <c r="D496" s="8"/>
    </row>
    <row r="497" ht="15.75" customHeight="1">
      <c r="D497" s="8"/>
    </row>
    <row r="498" ht="15.75" customHeight="1">
      <c r="D498" s="8"/>
    </row>
    <row r="499" ht="15.75" customHeight="1">
      <c r="D499" s="8"/>
    </row>
    <row r="500" ht="15.75" customHeight="1">
      <c r="D500" s="8"/>
    </row>
    <row r="501" ht="15.75" customHeight="1">
      <c r="D501" s="8"/>
    </row>
    <row r="502" ht="15.75" customHeight="1">
      <c r="D502" s="8"/>
    </row>
    <row r="503" ht="15.75" customHeight="1">
      <c r="D503" s="8"/>
    </row>
    <row r="504" ht="15.75" customHeight="1">
      <c r="D504" s="8"/>
    </row>
    <row r="505" ht="15.75" customHeight="1">
      <c r="D505" s="8"/>
    </row>
    <row r="506" ht="15.75" customHeight="1">
      <c r="D506" s="8"/>
    </row>
    <row r="507" ht="15.75" customHeight="1">
      <c r="D507" s="8"/>
    </row>
    <row r="508" ht="15.75" customHeight="1">
      <c r="D508" s="8"/>
    </row>
    <row r="509" ht="15.75" customHeight="1">
      <c r="D509" s="8"/>
    </row>
    <row r="510" ht="15.75" customHeight="1">
      <c r="D510" s="8"/>
    </row>
    <row r="511" ht="15.75" customHeight="1">
      <c r="D511" s="8"/>
    </row>
    <row r="512" ht="15.75" customHeight="1">
      <c r="D512" s="8"/>
    </row>
    <row r="513" ht="15.75" customHeight="1">
      <c r="D513" s="8"/>
    </row>
    <row r="514" ht="15.75" customHeight="1">
      <c r="D514" s="8"/>
    </row>
    <row r="515" ht="15.75" customHeight="1">
      <c r="D515" s="8"/>
    </row>
    <row r="516" ht="15.75" customHeight="1">
      <c r="D516" s="8"/>
    </row>
    <row r="517" ht="15.75" customHeight="1">
      <c r="D517" s="8"/>
    </row>
    <row r="518" ht="15.75" customHeight="1">
      <c r="D518" s="8"/>
    </row>
    <row r="519" ht="15.75" customHeight="1">
      <c r="D519" s="8"/>
    </row>
    <row r="520" ht="15.75" customHeight="1">
      <c r="D520" s="8"/>
    </row>
    <row r="521" ht="15.75" customHeight="1">
      <c r="D521" s="8"/>
    </row>
    <row r="522" ht="15.75" customHeight="1">
      <c r="D522" s="8"/>
    </row>
    <row r="523" ht="15.75" customHeight="1">
      <c r="D523" s="8"/>
    </row>
    <row r="524" ht="15.75" customHeight="1">
      <c r="D524" s="8"/>
    </row>
    <row r="525" ht="15.75" customHeight="1">
      <c r="D525" s="8"/>
    </row>
    <row r="526" ht="15.75" customHeight="1">
      <c r="D526" s="8"/>
    </row>
    <row r="527" ht="15.75" customHeight="1">
      <c r="D527" s="8"/>
    </row>
    <row r="528" ht="15.75" customHeight="1">
      <c r="D528" s="8"/>
    </row>
    <row r="529" ht="15.75" customHeight="1">
      <c r="D529" s="8"/>
    </row>
    <row r="530" ht="15.75" customHeight="1">
      <c r="D530" s="8"/>
    </row>
    <row r="531" ht="15.75" customHeight="1">
      <c r="D531" s="8"/>
    </row>
    <row r="532" ht="15.75" customHeight="1">
      <c r="D532" s="8"/>
    </row>
    <row r="533" ht="15.75" customHeight="1">
      <c r="D533" s="8"/>
    </row>
    <row r="534" ht="15.75" customHeight="1">
      <c r="D534" s="8"/>
    </row>
    <row r="535" ht="15.75" customHeight="1">
      <c r="D535" s="8"/>
    </row>
    <row r="536" ht="15.75" customHeight="1">
      <c r="D536" s="8"/>
    </row>
    <row r="537" ht="15.75" customHeight="1">
      <c r="D537" s="8"/>
    </row>
    <row r="538" ht="15.75" customHeight="1">
      <c r="D538" s="8"/>
    </row>
    <row r="539" ht="15.75" customHeight="1">
      <c r="D539" s="8"/>
    </row>
    <row r="540" ht="15.75" customHeight="1">
      <c r="D540" s="8"/>
    </row>
    <row r="541" ht="15.75" customHeight="1">
      <c r="D541" s="8"/>
    </row>
    <row r="542" ht="15.75" customHeight="1">
      <c r="D542" s="8"/>
    </row>
    <row r="543" ht="15.75" customHeight="1">
      <c r="D543" s="8"/>
    </row>
    <row r="544" ht="15.75" customHeight="1">
      <c r="D544" s="8"/>
    </row>
    <row r="545" ht="15.75" customHeight="1">
      <c r="D545" s="8"/>
    </row>
    <row r="546" ht="15.75" customHeight="1">
      <c r="D546" s="8"/>
    </row>
    <row r="547" ht="15.75" customHeight="1">
      <c r="D547" s="8"/>
    </row>
    <row r="548" ht="15.75" customHeight="1">
      <c r="D548" s="8"/>
    </row>
    <row r="549" ht="15.75" customHeight="1">
      <c r="D549" s="8"/>
    </row>
    <row r="550" ht="15.75" customHeight="1">
      <c r="D550" s="8"/>
    </row>
    <row r="551" ht="15.75" customHeight="1">
      <c r="D551" s="8"/>
    </row>
    <row r="552" ht="15.75" customHeight="1">
      <c r="D552" s="8"/>
    </row>
    <row r="553" ht="15.75" customHeight="1">
      <c r="D553" s="8"/>
    </row>
    <row r="554" ht="15.75" customHeight="1">
      <c r="D554" s="8"/>
    </row>
    <row r="555" ht="15.75" customHeight="1">
      <c r="D555" s="8"/>
    </row>
    <row r="556" ht="15.75" customHeight="1">
      <c r="D556" s="8"/>
    </row>
    <row r="557" ht="15.75" customHeight="1">
      <c r="D557" s="8"/>
    </row>
    <row r="558" ht="15.75" customHeight="1">
      <c r="D558" s="8"/>
    </row>
    <row r="559" ht="15.75" customHeight="1">
      <c r="D559" s="8"/>
    </row>
    <row r="560" ht="15.75" customHeight="1">
      <c r="D560" s="8"/>
    </row>
    <row r="561" ht="15.75" customHeight="1">
      <c r="D561" s="8"/>
    </row>
    <row r="562" ht="15.75" customHeight="1">
      <c r="D562" s="8"/>
    </row>
    <row r="563" ht="15.75" customHeight="1">
      <c r="D563" s="8"/>
    </row>
    <row r="564" ht="15.75" customHeight="1">
      <c r="D564" s="8"/>
    </row>
    <row r="565" ht="15.75" customHeight="1">
      <c r="D565" s="8"/>
    </row>
    <row r="566" ht="15.75" customHeight="1">
      <c r="D566" s="8"/>
    </row>
    <row r="567" ht="15.75" customHeight="1">
      <c r="D567" s="8"/>
    </row>
    <row r="568" ht="15.75" customHeight="1">
      <c r="D568" s="8"/>
    </row>
    <row r="569" ht="15.75" customHeight="1">
      <c r="D569" s="8"/>
    </row>
    <row r="570" ht="15.75" customHeight="1">
      <c r="D570" s="8"/>
    </row>
    <row r="571" ht="15.75" customHeight="1">
      <c r="D571" s="8"/>
    </row>
    <row r="572" ht="15.75" customHeight="1">
      <c r="D572" s="8"/>
    </row>
    <row r="573" ht="15.75" customHeight="1">
      <c r="D573" s="8"/>
    </row>
    <row r="574" ht="15.75" customHeight="1">
      <c r="D574" s="8"/>
    </row>
    <row r="575" ht="15.75" customHeight="1">
      <c r="D575" s="8"/>
    </row>
    <row r="576" ht="15.75" customHeight="1">
      <c r="D576" s="8"/>
    </row>
    <row r="577" ht="15.75" customHeight="1">
      <c r="D577" s="8"/>
    </row>
    <row r="578" ht="15.75" customHeight="1">
      <c r="D578" s="8"/>
    </row>
    <row r="579" ht="15.75" customHeight="1">
      <c r="D579" s="8"/>
    </row>
    <row r="580" ht="15.75" customHeight="1">
      <c r="D580" s="8"/>
    </row>
    <row r="581" ht="15.75" customHeight="1">
      <c r="D581" s="8"/>
    </row>
    <row r="582" ht="15.75" customHeight="1">
      <c r="D582" s="8"/>
    </row>
    <row r="583" ht="15.75" customHeight="1">
      <c r="D583" s="8"/>
    </row>
    <row r="584" ht="15.75" customHeight="1">
      <c r="D584" s="8"/>
    </row>
    <row r="585" ht="15.75" customHeight="1">
      <c r="D585" s="8"/>
    </row>
    <row r="586" ht="15.75" customHeight="1">
      <c r="D586" s="8"/>
    </row>
    <row r="587" ht="15.75" customHeight="1">
      <c r="D587" s="8"/>
    </row>
    <row r="588" ht="15.75" customHeight="1">
      <c r="D588" s="8"/>
    </row>
    <row r="589" ht="15.75" customHeight="1">
      <c r="D589" s="8"/>
    </row>
    <row r="590" ht="15.75" customHeight="1">
      <c r="D590" s="8"/>
    </row>
    <row r="591" ht="15.75" customHeight="1">
      <c r="D591" s="8"/>
    </row>
    <row r="592" ht="15.75" customHeight="1">
      <c r="D592" s="8"/>
    </row>
    <row r="593" ht="15.75" customHeight="1">
      <c r="D593" s="8"/>
    </row>
    <row r="594" ht="15.75" customHeight="1">
      <c r="D594" s="8"/>
    </row>
    <row r="595" ht="15.75" customHeight="1">
      <c r="D595" s="8"/>
    </row>
    <row r="596" ht="15.75" customHeight="1">
      <c r="D596" s="8"/>
    </row>
    <row r="597" ht="15.75" customHeight="1">
      <c r="D597" s="8"/>
    </row>
    <row r="598" ht="15.75" customHeight="1">
      <c r="D598" s="8"/>
    </row>
    <row r="599" ht="15.75" customHeight="1">
      <c r="D599" s="8"/>
    </row>
    <row r="600" ht="15.75" customHeight="1">
      <c r="D600" s="8"/>
    </row>
    <row r="601" ht="15.75" customHeight="1">
      <c r="D601" s="8"/>
    </row>
    <row r="602" ht="15.75" customHeight="1">
      <c r="D602" s="8"/>
    </row>
    <row r="603" ht="15.75" customHeight="1">
      <c r="D603" s="8"/>
    </row>
    <row r="604" ht="15.75" customHeight="1">
      <c r="D604" s="8"/>
    </row>
    <row r="605" ht="15.75" customHeight="1">
      <c r="D605" s="8"/>
    </row>
    <row r="606" ht="15.75" customHeight="1">
      <c r="D606" s="8"/>
    </row>
    <row r="607" ht="15.75" customHeight="1">
      <c r="D607" s="8"/>
    </row>
    <row r="608" ht="15.75" customHeight="1">
      <c r="D608" s="8"/>
    </row>
    <row r="609" ht="15.75" customHeight="1">
      <c r="D609" s="8"/>
    </row>
    <row r="610" ht="15.75" customHeight="1">
      <c r="D610" s="8"/>
    </row>
    <row r="611" ht="15.75" customHeight="1">
      <c r="D611" s="8"/>
    </row>
    <row r="612" ht="15.75" customHeight="1">
      <c r="D612" s="8"/>
    </row>
    <row r="613" ht="15.75" customHeight="1">
      <c r="D613" s="8"/>
    </row>
    <row r="614" ht="15.75" customHeight="1">
      <c r="D614" s="8"/>
    </row>
    <row r="615" ht="15.75" customHeight="1">
      <c r="D615" s="8"/>
    </row>
    <row r="616" ht="15.75" customHeight="1">
      <c r="D616" s="8"/>
    </row>
    <row r="617" ht="15.75" customHeight="1">
      <c r="D617" s="8"/>
    </row>
    <row r="618" ht="15.75" customHeight="1">
      <c r="D618" s="8"/>
    </row>
    <row r="619" ht="15.75" customHeight="1">
      <c r="D619" s="8"/>
    </row>
    <row r="620" ht="15.75" customHeight="1">
      <c r="D620" s="8"/>
    </row>
    <row r="621" ht="15.75" customHeight="1">
      <c r="D621" s="8"/>
    </row>
    <row r="622" ht="15.75" customHeight="1">
      <c r="D622" s="8"/>
    </row>
    <row r="623" ht="15.75" customHeight="1">
      <c r="D623" s="8"/>
    </row>
    <row r="624" ht="15.75" customHeight="1">
      <c r="D624" s="8"/>
    </row>
    <row r="625" ht="15.75" customHeight="1">
      <c r="D625" s="8"/>
    </row>
    <row r="626" ht="15.75" customHeight="1">
      <c r="D626" s="8"/>
    </row>
    <row r="627" ht="15.75" customHeight="1">
      <c r="D627" s="8"/>
    </row>
    <row r="628" ht="15.75" customHeight="1">
      <c r="D628" s="8"/>
    </row>
    <row r="629" ht="15.75" customHeight="1">
      <c r="D629" s="8"/>
    </row>
    <row r="630" ht="15.75" customHeight="1">
      <c r="D630" s="8"/>
    </row>
    <row r="631" ht="15.75" customHeight="1">
      <c r="D631" s="8"/>
    </row>
    <row r="632" ht="15.75" customHeight="1">
      <c r="D632" s="8"/>
    </row>
    <row r="633" ht="15.75" customHeight="1">
      <c r="D633" s="8"/>
    </row>
    <row r="634" ht="15.75" customHeight="1">
      <c r="D634" s="8"/>
    </row>
    <row r="635" ht="15.75" customHeight="1">
      <c r="D635" s="8"/>
    </row>
    <row r="636" ht="15.75" customHeight="1">
      <c r="D636" s="8"/>
    </row>
    <row r="637" ht="15.75" customHeight="1">
      <c r="D637" s="8"/>
    </row>
    <row r="638" ht="15.75" customHeight="1">
      <c r="D638" s="8"/>
    </row>
    <row r="639" ht="15.75" customHeight="1">
      <c r="D639" s="8"/>
    </row>
    <row r="640" ht="15.75" customHeight="1">
      <c r="D640" s="8"/>
    </row>
    <row r="641" ht="15.75" customHeight="1">
      <c r="D641" s="8"/>
    </row>
    <row r="642" ht="15.75" customHeight="1">
      <c r="D642" s="8"/>
    </row>
    <row r="643" ht="15.75" customHeight="1">
      <c r="D643" s="8"/>
    </row>
    <row r="644" ht="15.75" customHeight="1">
      <c r="D644" s="8"/>
    </row>
    <row r="645" ht="15.75" customHeight="1">
      <c r="D645" s="8"/>
    </row>
    <row r="646" ht="15.75" customHeight="1">
      <c r="D646" s="8"/>
    </row>
    <row r="647" ht="15.75" customHeight="1">
      <c r="D647" s="8"/>
    </row>
    <row r="648" ht="15.75" customHeight="1">
      <c r="D648" s="8"/>
    </row>
    <row r="649" ht="15.75" customHeight="1">
      <c r="D649" s="8"/>
    </row>
    <row r="650" ht="15.75" customHeight="1">
      <c r="D650" s="8"/>
    </row>
    <row r="651" ht="15.75" customHeight="1">
      <c r="D651" s="8"/>
    </row>
    <row r="652" ht="15.75" customHeight="1">
      <c r="D652" s="8"/>
    </row>
    <row r="653" ht="15.75" customHeight="1">
      <c r="D653" s="8"/>
    </row>
    <row r="654" ht="15.75" customHeight="1">
      <c r="D654" s="8"/>
    </row>
    <row r="655" ht="15.75" customHeight="1">
      <c r="D655" s="8"/>
    </row>
    <row r="656" ht="15.75" customHeight="1">
      <c r="D656" s="8"/>
    </row>
    <row r="657" ht="15.75" customHeight="1">
      <c r="D657" s="8"/>
    </row>
    <row r="658" ht="15.75" customHeight="1">
      <c r="D658" s="8"/>
    </row>
    <row r="659" ht="15.75" customHeight="1">
      <c r="D659" s="8"/>
    </row>
    <row r="660" ht="15.75" customHeight="1">
      <c r="D660" s="8"/>
    </row>
    <row r="661" ht="15.75" customHeight="1">
      <c r="D661" s="8"/>
    </row>
    <row r="662" ht="15.75" customHeight="1">
      <c r="D662" s="8"/>
    </row>
    <row r="663" ht="15.75" customHeight="1">
      <c r="D663" s="8"/>
    </row>
    <row r="664" ht="15.75" customHeight="1">
      <c r="D664" s="8"/>
    </row>
    <row r="665" ht="15.75" customHeight="1">
      <c r="D665" s="8"/>
    </row>
    <row r="666" ht="15.75" customHeight="1">
      <c r="D666" s="8"/>
    </row>
    <row r="667" ht="15.75" customHeight="1">
      <c r="D667" s="8"/>
    </row>
    <row r="668" ht="15.75" customHeight="1">
      <c r="D668" s="8"/>
    </row>
    <row r="669" ht="15.75" customHeight="1">
      <c r="D669" s="8"/>
    </row>
    <row r="670" ht="15.75" customHeight="1">
      <c r="D670" s="8"/>
    </row>
    <row r="671" ht="15.75" customHeight="1">
      <c r="D671" s="8"/>
    </row>
    <row r="672" ht="15.75" customHeight="1">
      <c r="D672" s="8"/>
    </row>
    <row r="673" ht="15.75" customHeight="1">
      <c r="D673" s="8"/>
    </row>
    <row r="674" ht="15.75" customHeight="1">
      <c r="D674" s="8"/>
    </row>
    <row r="675" ht="15.75" customHeight="1">
      <c r="D675" s="8"/>
    </row>
    <row r="676" ht="15.75" customHeight="1">
      <c r="D676" s="8"/>
    </row>
    <row r="677" ht="15.75" customHeight="1">
      <c r="D677" s="8"/>
    </row>
    <row r="678" ht="15.75" customHeight="1">
      <c r="D678" s="8"/>
    </row>
    <row r="679" ht="15.75" customHeight="1">
      <c r="D679" s="8"/>
    </row>
    <row r="680" ht="15.75" customHeight="1">
      <c r="D680" s="8"/>
    </row>
    <row r="681" ht="15.75" customHeight="1">
      <c r="D681" s="8"/>
    </row>
    <row r="682" ht="15.75" customHeight="1">
      <c r="D682" s="8"/>
    </row>
    <row r="683" ht="15.75" customHeight="1">
      <c r="D683" s="8"/>
    </row>
    <row r="684" ht="15.75" customHeight="1">
      <c r="D684" s="8"/>
    </row>
    <row r="685" ht="15.75" customHeight="1">
      <c r="D685" s="8"/>
    </row>
    <row r="686" ht="15.75" customHeight="1">
      <c r="D686" s="8"/>
    </row>
    <row r="687" ht="15.75" customHeight="1">
      <c r="D687" s="8"/>
    </row>
    <row r="688" ht="15.75" customHeight="1">
      <c r="D688" s="8"/>
    </row>
    <row r="689" ht="15.75" customHeight="1">
      <c r="D689" s="8"/>
    </row>
    <row r="690" ht="15.75" customHeight="1">
      <c r="D690" s="8"/>
    </row>
    <row r="691" ht="15.75" customHeight="1">
      <c r="D691" s="8"/>
    </row>
    <row r="692" ht="15.75" customHeight="1">
      <c r="D692" s="8"/>
    </row>
    <row r="693" ht="15.75" customHeight="1">
      <c r="D693" s="8"/>
    </row>
    <row r="694" ht="15.75" customHeight="1">
      <c r="D694" s="8"/>
    </row>
    <row r="695" ht="15.75" customHeight="1">
      <c r="D695" s="8"/>
    </row>
    <row r="696" ht="15.75" customHeight="1">
      <c r="D696" s="8"/>
    </row>
    <row r="697" ht="15.75" customHeight="1">
      <c r="D697" s="8"/>
    </row>
    <row r="698" ht="15.75" customHeight="1">
      <c r="D698" s="8"/>
    </row>
    <row r="699" ht="15.75" customHeight="1">
      <c r="D699" s="8"/>
    </row>
    <row r="700" ht="15.75" customHeight="1">
      <c r="D700" s="8"/>
    </row>
    <row r="701" ht="15.75" customHeight="1">
      <c r="D701" s="8"/>
    </row>
    <row r="702" ht="15.75" customHeight="1">
      <c r="D702" s="8"/>
    </row>
    <row r="703" ht="15.75" customHeight="1">
      <c r="D703" s="8"/>
    </row>
    <row r="704" ht="15.75" customHeight="1">
      <c r="D704" s="8"/>
    </row>
    <row r="705" ht="15.75" customHeight="1">
      <c r="D705" s="8"/>
    </row>
    <row r="706" ht="15.75" customHeight="1">
      <c r="D706" s="8"/>
    </row>
    <row r="707" ht="15.75" customHeight="1">
      <c r="D707" s="8"/>
    </row>
    <row r="708" ht="15.75" customHeight="1">
      <c r="D708" s="8"/>
    </row>
    <row r="709" ht="15.75" customHeight="1">
      <c r="D709" s="8"/>
    </row>
    <row r="710" ht="15.75" customHeight="1">
      <c r="D710" s="8"/>
    </row>
    <row r="711" ht="15.75" customHeight="1">
      <c r="D711" s="8"/>
    </row>
    <row r="712" ht="15.75" customHeight="1">
      <c r="D712" s="8"/>
    </row>
    <row r="713" ht="15.75" customHeight="1">
      <c r="D713" s="8"/>
    </row>
    <row r="714" ht="15.75" customHeight="1">
      <c r="D714" s="8"/>
    </row>
    <row r="715" ht="15.75" customHeight="1">
      <c r="D715" s="8"/>
    </row>
    <row r="716" ht="15.75" customHeight="1">
      <c r="D716" s="8"/>
    </row>
    <row r="717" ht="15.75" customHeight="1">
      <c r="D717" s="8"/>
    </row>
    <row r="718" ht="15.75" customHeight="1">
      <c r="D718" s="8"/>
    </row>
    <row r="719" ht="15.75" customHeight="1">
      <c r="D719" s="8"/>
    </row>
    <row r="720" ht="15.75" customHeight="1">
      <c r="D720" s="8"/>
    </row>
    <row r="721" ht="15.75" customHeight="1">
      <c r="D721" s="8"/>
    </row>
    <row r="722" ht="15.75" customHeight="1">
      <c r="D722" s="8"/>
    </row>
    <row r="723" ht="15.75" customHeight="1">
      <c r="D723" s="8"/>
    </row>
    <row r="724" ht="15.75" customHeight="1">
      <c r="D724" s="8"/>
    </row>
    <row r="725" ht="15.75" customHeight="1">
      <c r="D725" s="8"/>
    </row>
    <row r="726" ht="15.75" customHeight="1">
      <c r="D726" s="8"/>
    </row>
    <row r="727" ht="15.75" customHeight="1">
      <c r="D727" s="8"/>
    </row>
    <row r="728" ht="15.75" customHeight="1">
      <c r="D728" s="8"/>
    </row>
    <row r="729" ht="15.75" customHeight="1">
      <c r="D729" s="8"/>
    </row>
    <row r="730" ht="15.75" customHeight="1">
      <c r="D730" s="8"/>
    </row>
    <row r="731" ht="15.75" customHeight="1">
      <c r="D731" s="8"/>
    </row>
    <row r="732" ht="15.75" customHeight="1">
      <c r="D732" s="8"/>
    </row>
    <row r="733" ht="15.75" customHeight="1">
      <c r="D733" s="8"/>
    </row>
    <row r="734" ht="15.75" customHeight="1">
      <c r="D734" s="8"/>
    </row>
    <row r="735" ht="15.75" customHeight="1">
      <c r="D735" s="8"/>
    </row>
    <row r="736" ht="15.75" customHeight="1">
      <c r="D736" s="8"/>
    </row>
    <row r="737" ht="15.75" customHeight="1">
      <c r="D737" s="8"/>
    </row>
    <row r="738" ht="15.75" customHeight="1">
      <c r="D738" s="8"/>
    </row>
    <row r="739" ht="15.75" customHeight="1">
      <c r="D739" s="8"/>
    </row>
    <row r="740" ht="15.75" customHeight="1">
      <c r="D740" s="8"/>
    </row>
    <row r="741" ht="15.75" customHeight="1">
      <c r="D741" s="8"/>
    </row>
    <row r="742" ht="15.75" customHeight="1">
      <c r="D742" s="8"/>
    </row>
    <row r="743" ht="15.75" customHeight="1">
      <c r="D743" s="8"/>
    </row>
    <row r="744" ht="15.75" customHeight="1">
      <c r="D744" s="8"/>
    </row>
    <row r="745" ht="15.75" customHeight="1">
      <c r="D745" s="8"/>
    </row>
    <row r="746" ht="15.75" customHeight="1">
      <c r="D746" s="8"/>
    </row>
    <row r="747" ht="15.75" customHeight="1">
      <c r="D747" s="8"/>
    </row>
    <row r="748" ht="15.75" customHeight="1">
      <c r="D748" s="8"/>
    </row>
    <row r="749" ht="15.75" customHeight="1">
      <c r="D749" s="8"/>
    </row>
    <row r="750" ht="15.75" customHeight="1">
      <c r="D750" s="8"/>
    </row>
    <row r="751" ht="15.75" customHeight="1">
      <c r="D751" s="8"/>
    </row>
    <row r="752" ht="15.75" customHeight="1">
      <c r="D752" s="8"/>
    </row>
    <row r="753" ht="15.75" customHeight="1">
      <c r="D753" s="8"/>
    </row>
    <row r="754" ht="15.75" customHeight="1">
      <c r="D754" s="8"/>
    </row>
    <row r="755" ht="15.75" customHeight="1">
      <c r="D755" s="8"/>
    </row>
    <row r="756" ht="15.75" customHeight="1">
      <c r="D756" s="8"/>
    </row>
    <row r="757" ht="15.75" customHeight="1">
      <c r="D757" s="8"/>
    </row>
    <row r="758" ht="15.75" customHeight="1">
      <c r="D758" s="8"/>
    </row>
    <row r="759" ht="15.75" customHeight="1">
      <c r="D759" s="8"/>
    </row>
    <row r="760" ht="15.75" customHeight="1">
      <c r="D760" s="8"/>
    </row>
    <row r="761" ht="15.75" customHeight="1">
      <c r="D761" s="8"/>
    </row>
    <row r="762" ht="15.75" customHeight="1">
      <c r="D762" s="8"/>
    </row>
    <row r="763" ht="15.75" customHeight="1">
      <c r="D763" s="8"/>
    </row>
    <row r="764" ht="15.75" customHeight="1">
      <c r="D764" s="8"/>
    </row>
    <row r="765" ht="15.75" customHeight="1">
      <c r="D765" s="8"/>
    </row>
    <row r="766" ht="15.75" customHeight="1">
      <c r="D766" s="8"/>
    </row>
    <row r="767" ht="15.75" customHeight="1">
      <c r="D767" s="8"/>
    </row>
    <row r="768" ht="15.75" customHeight="1">
      <c r="D768" s="8"/>
    </row>
    <row r="769" ht="15.75" customHeight="1">
      <c r="D769" s="8"/>
    </row>
    <row r="770" ht="15.75" customHeight="1">
      <c r="D770" s="8"/>
    </row>
    <row r="771" ht="15.75" customHeight="1">
      <c r="D771" s="8"/>
    </row>
    <row r="772" ht="15.75" customHeight="1">
      <c r="D772" s="8"/>
    </row>
    <row r="773" ht="15.75" customHeight="1">
      <c r="D773" s="8"/>
    </row>
    <row r="774" ht="15.75" customHeight="1">
      <c r="D774" s="8"/>
    </row>
    <row r="775" ht="15.75" customHeight="1">
      <c r="D775" s="8"/>
    </row>
    <row r="776" ht="15.75" customHeight="1">
      <c r="D776" s="8"/>
    </row>
    <row r="777" ht="15.75" customHeight="1">
      <c r="D777" s="8"/>
    </row>
    <row r="778" ht="15.75" customHeight="1">
      <c r="D778" s="8"/>
    </row>
    <row r="779" ht="15.75" customHeight="1">
      <c r="D779" s="8"/>
    </row>
    <row r="780" ht="15.75" customHeight="1">
      <c r="D780" s="8"/>
    </row>
    <row r="781" ht="15.75" customHeight="1">
      <c r="D781" s="8"/>
    </row>
    <row r="782" ht="15.75" customHeight="1">
      <c r="D782" s="8"/>
    </row>
    <row r="783" ht="15.75" customHeight="1">
      <c r="D783" s="8"/>
    </row>
    <row r="784" ht="15.75" customHeight="1">
      <c r="D784" s="8"/>
    </row>
    <row r="785" ht="15.75" customHeight="1">
      <c r="D785" s="8"/>
    </row>
    <row r="786" ht="15.75" customHeight="1">
      <c r="D786" s="8"/>
    </row>
    <row r="787" ht="15.75" customHeight="1">
      <c r="D787" s="8"/>
    </row>
    <row r="788" ht="15.75" customHeight="1">
      <c r="D788" s="8"/>
    </row>
    <row r="789" ht="15.75" customHeight="1">
      <c r="D789" s="8"/>
    </row>
    <row r="790" ht="15.75" customHeight="1">
      <c r="D790" s="8"/>
    </row>
    <row r="791" ht="15.75" customHeight="1">
      <c r="D791" s="8"/>
    </row>
    <row r="792" ht="15.75" customHeight="1">
      <c r="D792" s="8"/>
    </row>
    <row r="793" ht="15.75" customHeight="1">
      <c r="D793" s="8"/>
    </row>
    <row r="794" ht="15.75" customHeight="1">
      <c r="D794" s="8"/>
    </row>
    <row r="795" ht="15.75" customHeight="1">
      <c r="D795" s="8"/>
    </row>
    <row r="796" ht="15.75" customHeight="1">
      <c r="D796" s="8"/>
    </row>
    <row r="797" ht="15.75" customHeight="1">
      <c r="D797" s="8"/>
    </row>
    <row r="798" ht="15.75" customHeight="1">
      <c r="D798" s="8"/>
    </row>
    <row r="799" ht="15.75" customHeight="1">
      <c r="D799" s="8"/>
    </row>
    <row r="800" ht="15.75" customHeight="1">
      <c r="D800" s="8"/>
    </row>
    <row r="801" ht="15.75" customHeight="1">
      <c r="D801" s="8"/>
    </row>
    <row r="802" ht="15.75" customHeight="1">
      <c r="D802" s="8"/>
    </row>
    <row r="803" ht="15.75" customHeight="1">
      <c r="D803" s="8"/>
    </row>
    <row r="804" ht="15.75" customHeight="1">
      <c r="D804" s="8"/>
    </row>
    <row r="805" ht="15.75" customHeight="1">
      <c r="D805" s="8"/>
    </row>
    <row r="806" ht="15.75" customHeight="1">
      <c r="D806" s="8"/>
    </row>
    <row r="807" ht="15.75" customHeight="1">
      <c r="D807" s="8"/>
    </row>
    <row r="808" ht="15.75" customHeight="1">
      <c r="D808" s="8"/>
    </row>
    <row r="809" ht="15.75" customHeight="1">
      <c r="D809" s="8"/>
    </row>
    <row r="810" ht="15.75" customHeight="1">
      <c r="D810" s="8"/>
    </row>
    <row r="811" ht="15.75" customHeight="1">
      <c r="D811" s="8"/>
    </row>
    <row r="812" ht="15.75" customHeight="1">
      <c r="D812" s="8"/>
    </row>
    <row r="813" ht="15.75" customHeight="1">
      <c r="D813" s="8"/>
    </row>
    <row r="814" ht="15.75" customHeight="1">
      <c r="D814" s="8"/>
    </row>
    <row r="815" ht="15.75" customHeight="1">
      <c r="D815" s="8"/>
    </row>
    <row r="816" ht="15.75" customHeight="1">
      <c r="D816" s="8"/>
    </row>
    <row r="817" ht="15.75" customHeight="1">
      <c r="D817" s="8"/>
    </row>
    <row r="818" ht="15.75" customHeight="1">
      <c r="D818" s="8"/>
    </row>
    <row r="819" ht="15.75" customHeight="1">
      <c r="D819" s="8"/>
    </row>
    <row r="820" ht="15.75" customHeight="1">
      <c r="D820" s="8"/>
    </row>
    <row r="821" ht="15.75" customHeight="1">
      <c r="D821" s="8"/>
    </row>
    <row r="822" ht="15.75" customHeight="1">
      <c r="D822" s="8"/>
    </row>
    <row r="823" ht="15.75" customHeight="1">
      <c r="D823" s="8"/>
    </row>
    <row r="824" ht="15.75" customHeight="1">
      <c r="D824" s="8"/>
    </row>
    <row r="825" ht="15.75" customHeight="1">
      <c r="D825" s="8"/>
    </row>
    <row r="826" ht="15.75" customHeight="1">
      <c r="D826" s="8"/>
    </row>
    <row r="827" ht="15.75" customHeight="1">
      <c r="D827" s="8"/>
    </row>
    <row r="828" ht="15.75" customHeight="1">
      <c r="D828" s="8"/>
    </row>
    <row r="829" ht="15.75" customHeight="1">
      <c r="D829" s="8"/>
    </row>
    <row r="830" ht="15.75" customHeight="1">
      <c r="D830" s="8"/>
    </row>
    <row r="831" ht="15.75" customHeight="1">
      <c r="D831" s="8"/>
    </row>
    <row r="832" ht="15.75" customHeight="1">
      <c r="D832" s="8"/>
    </row>
    <row r="833" ht="15.75" customHeight="1">
      <c r="D833" s="8"/>
    </row>
    <row r="834" ht="15.75" customHeight="1">
      <c r="D834" s="8"/>
    </row>
    <row r="835" ht="15.75" customHeight="1">
      <c r="D835" s="8"/>
    </row>
    <row r="836" ht="15.75" customHeight="1">
      <c r="D836" s="8"/>
    </row>
    <row r="837" ht="15.75" customHeight="1">
      <c r="D837" s="8"/>
    </row>
    <row r="838" ht="15.75" customHeight="1">
      <c r="D838" s="8"/>
    </row>
    <row r="839" ht="15.75" customHeight="1">
      <c r="D839" s="8"/>
    </row>
    <row r="840" ht="15.75" customHeight="1">
      <c r="D840" s="8"/>
    </row>
    <row r="841" ht="15.75" customHeight="1">
      <c r="D841" s="8"/>
    </row>
    <row r="842" ht="15.75" customHeight="1">
      <c r="D842" s="8"/>
    </row>
    <row r="843" ht="15.75" customHeight="1">
      <c r="D843" s="8"/>
    </row>
    <row r="844" ht="15.75" customHeight="1">
      <c r="D844" s="8"/>
    </row>
    <row r="845" ht="15.75" customHeight="1">
      <c r="D845" s="8"/>
    </row>
    <row r="846" ht="15.75" customHeight="1">
      <c r="D846" s="8"/>
    </row>
    <row r="847" ht="15.75" customHeight="1">
      <c r="D847" s="8"/>
    </row>
    <row r="848" ht="15.75" customHeight="1">
      <c r="D848" s="8"/>
    </row>
    <row r="849" ht="15.75" customHeight="1">
      <c r="D849" s="8"/>
    </row>
    <row r="850" ht="15.75" customHeight="1">
      <c r="D850" s="8"/>
    </row>
    <row r="851" ht="15.75" customHeight="1">
      <c r="D851" s="8"/>
    </row>
    <row r="852" ht="15.75" customHeight="1">
      <c r="D852" s="8"/>
    </row>
    <row r="853" ht="15.75" customHeight="1">
      <c r="D853" s="8"/>
    </row>
    <row r="854" ht="15.75" customHeight="1">
      <c r="D854" s="8"/>
    </row>
    <row r="855" ht="15.75" customHeight="1">
      <c r="D855" s="8"/>
    </row>
    <row r="856" ht="15.75" customHeight="1">
      <c r="D856" s="8"/>
    </row>
    <row r="857" ht="15.75" customHeight="1">
      <c r="D857" s="8"/>
    </row>
    <row r="858" ht="15.75" customHeight="1">
      <c r="D858" s="8"/>
    </row>
    <row r="859" ht="15.75" customHeight="1">
      <c r="D859" s="8"/>
    </row>
    <row r="860" ht="15.75" customHeight="1">
      <c r="D860" s="8"/>
    </row>
    <row r="861" ht="15.75" customHeight="1">
      <c r="D861" s="8"/>
    </row>
    <row r="862" ht="15.75" customHeight="1">
      <c r="D862" s="8"/>
    </row>
    <row r="863" ht="15.75" customHeight="1">
      <c r="D863" s="8"/>
    </row>
    <row r="864" ht="15.75" customHeight="1">
      <c r="D864" s="8"/>
    </row>
    <row r="865" ht="15.75" customHeight="1">
      <c r="D865" s="8"/>
    </row>
    <row r="866" ht="15.75" customHeight="1">
      <c r="D866" s="8"/>
    </row>
    <row r="867" ht="15.75" customHeight="1">
      <c r="D867" s="8"/>
    </row>
    <row r="868" ht="15.75" customHeight="1">
      <c r="D868" s="8"/>
    </row>
    <row r="869" ht="15.75" customHeight="1">
      <c r="D869" s="8"/>
    </row>
    <row r="870" ht="15.75" customHeight="1">
      <c r="D870" s="8"/>
    </row>
    <row r="871" ht="15.75" customHeight="1">
      <c r="D871" s="8"/>
    </row>
    <row r="872" ht="15.75" customHeight="1">
      <c r="D872" s="8"/>
    </row>
    <row r="873" ht="15.75" customHeight="1">
      <c r="D873" s="8"/>
    </row>
    <row r="874" ht="15.75" customHeight="1">
      <c r="D874" s="8"/>
    </row>
    <row r="875" ht="15.75" customHeight="1">
      <c r="D875" s="8"/>
    </row>
    <row r="876" ht="15.75" customHeight="1">
      <c r="D876" s="8"/>
    </row>
    <row r="877" ht="15.75" customHeight="1">
      <c r="D877" s="8"/>
    </row>
    <row r="878" ht="15.75" customHeight="1">
      <c r="D878" s="8"/>
    </row>
    <row r="879" ht="15.75" customHeight="1">
      <c r="D879" s="8"/>
    </row>
    <row r="880" ht="15.75" customHeight="1">
      <c r="D880" s="8"/>
    </row>
    <row r="881" ht="15.75" customHeight="1">
      <c r="D881" s="8"/>
    </row>
    <row r="882" ht="15.75" customHeight="1">
      <c r="D882" s="8"/>
    </row>
    <row r="883" ht="15.75" customHeight="1">
      <c r="D883" s="8"/>
    </row>
    <row r="884" ht="15.75" customHeight="1">
      <c r="D884" s="8"/>
    </row>
    <row r="885" ht="15.75" customHeight="1">
      <c r="D885" s="8"/>
    </row>
    <row r="886" ht="15.75" customHeight="1">
      <c r="D886" s="8"/>
    </row>
    <row r="887" ht="15.75" customHeight="1">
      <c r="D887" s="8"/>
    </row>
    <row r="888" ht="15.75" customHeight="1">
      <c r="D888" s="8"/>
    </row>
    <row r="889" ht="15.75" customHeight="1">
      <c r="D889" s="8"/>
    </row>
    <row r="890" ht="15.75" customHeight="1">
      <c r="D890" s="8"/>
    </row>
    <row r="891" ht="15.75" customHeight="1">
      <c r="D891" s="8"/>
    </row>
    <row r="892" ht="15.75" customHeight="1">
      <c r="D892" s="8"/>
    </row>
    <row r="893" ht="15.75" customHeight="1">
      <c r="D893" s="8"/>
    </row>
    <row r="894" ht="15.75" customHeight="1">
      <c r="D894" s="8"/>
    </row>
    <row r="895" ht="15.75" customHeight="1">
      <c r="D895" s="8"/>
    </row>
    <row r="896" ht="15.75" customHeight="1">
      <c r="D896" s="8"/>
    </row>
    <row r="897" ht="15.75" customHeight="1">
      <c r="D897" s="8"/>
    </row>
    <row r="898" ht="15.75" customHeight="1">
      <c r="D898" s="8"/>
    </row>
    <row r="899" ht="15.75" customHeight="1">
      <c r="D899" s="8"/>
    </row>
    <row r="900" ht="15.75" customHeight="1">
      <c r="D900" s="8"/>
    </row>
    <row r="901" ht="15.75" customHeight="1">
      <c r="D901" s="8"/>
    </row>
    <row r="902" ht="15.75" customHeight="1">
      <c r="D902" s="8"/>
    </row>
    <row r="903" ht="15.75" customHeight="1">
      <c r="D903" s="8"/>
    </row>
    <row r="904" ht="15.75" customHeight="1">
      <c r="D904" s="8"/>
    </row>
    <row r="905" ht="15.75" customHeight="1">
      <c r="D905" s="8"/>
    </row>
    <row r="906" ht="15.75" customHeight="1">
      <c r="D906" s="8"/>
    </row>
    <row r="907" ht="15.75" customHeight="1">
      <c r="D907" s="8"/>
    </row>
    <row r="908" ht="15.75" customHeight="1">
      <c r="D908" s="8"/>
    </row>
    <row r="909" ht="15.75" customHeight="1">
      <c r="D909" s="8"/>
    </row>
    <row r="910" ht="15.75" customHeight="1">
      <c r="D910" s="8"/>
    </row>
    <row r="911" ht="15.75" customHeight="1">
      <c r="D911" s="8"/>
    </row>
    <row r="912" ht="15.75" customHeight="1">
      <c r="D912" s="8"/>
    </row>
    <row r="913" ht="15.75" customHeight="1">
      <c r="D913" s="8"/>
    </row>
    <row r="914" ht="15.75" customHeight="1">
      <c r="D914" s="8"/>
    </row>
    <row r="915" ht="15.75" customHeight="1">
      <c r="D915" s="8"/>
    </row>
    <row r="916" ht="15.75" customHeight="1">
      <c r="D916" s="8"/>
    </row>
    <row r="917" ht="15.75" customHeight="1">
      <c r="D917" s="8"/>
    </row>
    <row r="918" ht="15.75" customHeight="1">
      <c r="D918" s="8"/>
    </row>
    <row r="919" ht="15.75" customHeight="1">
      <c r="D919" s="8"/>
    </row>
    <row r="920" ht="15.75" customHeight="1">
      <c r="D920" s="8"/>
    </row>
    <row r="921" ht="15.75" customHeight="1">
      <c r="D921" s="8"/>
    </row>
    <row r="922" ht="15.75" customHeight="1">
      <c r="D922" s="8"/>
    </row>
    <row r="923" ht="15.75" customHeight="1">
      <c r="D923" s="8"/>
    </row>
    <row r="924" ht="15.75" customHeight="1">
      <c r="D924" s="8"/>
    </row>
    <row r="925" ht="15.75" customHeight="1">
      <c r="D925" s="8"/>
    </row>
    <row r="926" ht="15.75" customHeight="1">
      <c r="D926" s="8"/>
    </row>
    <row r="927" ht="15.75" customHeight="1">
      <c r="D927" s="8"/>
    </row>
    <row r="928" ht="15.75" customHeight="1">
      <c r="D928" s="8"/>
    </row>
    <row r="929" ht="15.75" customHeight="1">
      <c r="D929" s="8"/>
    </row>
    <row r="930" ht="15.75" customHeight="1">
      <c r="D930" s="8"/>
    </row>
    <row r="931" ht="15.75" customHeight="1">
      <c r="D931" s="8"/>
    </row>
    <row r="932" ht="15.75" customHeight="1">
      <c r="D932" s="8"/>
    </row>
    <row r="933" ht="15.75" customHeight="1">
      <c r="D933" s="8"/>
    </row>
    <row r="934" ht="15.75" customHeight="1">
      <c r="D934" s="8"/>
    </row>
    <row r="935" ht="15.75" customHeight="1">
      <c r="D935" s="8"/>
    </row>
    <row r="936" ht="15.75" customHeight="1">
      <c r="D936" s="8"/>
    </row>
    <row r="937" ht="15.75" customHeight="1">
      <c r="D937" s="8"/>
    </row>
    <row r="938" ht="15.75" customHeight="1">
      <c r="D938" s="8"/>
    </row>
    <row r="939" ht="15.75" customHeight="1">
      <c r="D939" s="8"/>
    </row>
    <row r="940" ht="15.75" customHeight="1">
      <c r="D940" s="8"/>
    </row>
    <row r="941" ht="15.75" customHeight="1">
      <c r="D941" s="8"/>
    </row>
    <row r="942" ht="15.75" customHeight="1">
      <c r="D942" s="8"/>
    </row>
    <row r="943" ht="15.75" customHeight="1">
      <c r="D943" s="8"/>
    </row>
    <row r="944" ht="15.75" customHeight="1">
      <c r="D944" s="8"/>
    </row>
    <row r="945" ht="15.75" customHeight="1">
      <c r="D945" s="8"/>
    </row>
    <row r="946" ht="15.75" customHeight="1">
      <c r="D946" s="8"/>
    </row>
    <row r="947" ht="15.75" customHeight="1">
      <c r="D947" s="8"/>
    </row>
    <row r="948" ht="15.75" customHeight="1">
      <c r="D948" s="8"/>
    </row>
    <row r="949" ht="15.75" customHeight="1">
      <c r="D949" s="8"/>
    </row>
    <row r="950" ht="15.75" customHeight="1">
      <c r="D950" s="8"/>
    </row>
    <row r="951" ht="15.75" customHeight="1">
      <c r="D951" s="8"/>
    </row>
    <row r="952" ht="15.75" customHeight="1">
      <c r="D952" s="8"/>
    </row>
    <row r="953" ht="15.75" customHeight="1">
      <c r="D953" s="8"/>
    </row>
    <row r="954" ht="15.75" customHeight="1">
      <c r="D954" s="8"/>
    </row>
    <row r="955" ht="15.75" customHeight="1">
      <c r="D955" s="8"/>
    </row>
    <row r="956" ht="15.75" customHeight="1">
      <c r="D956" s="8"/>
    </row>
    <row r="957" ht="15.75" customHeight="1">
      <c r="D957" s="8"/>
    </row>
    <row r="958" ht="15.75" customHeight="1">
      <c r="D958" s="8"/>
    </row>
    <row r="959" ht="15.75" customHeight="1">
      <c r="D959" s="8"/>
    </row>
    <row r="960" ht="15.75" customHeight="1">
      <c r="D960" s="8"/>
    </row>
    <row r="961" ht="15.75" customHeight="1">
      <c r="D961" s="8"/>
    </row>
    <row r="962" ht="15.75" customHeight="1">
      <c r="D962" s="8"/>
    </row>
    <row r="963" ht="15.75" customHeight="1">
      <c r="D963" s="8"/>
    </row>
    <row r="964" ht="15.75" customHeight="1">
      <c r="D964" s="8"/>
    </row>
    <row r="965" ht="15.75" customHeight="1">
      <c r="D965" s="8"/>
    </row>
    <row r="966" ht="15.75" customHeight="1">
      <c r="D966" s="8"/>
    </row>
    <row r="967" ht="15.75" customHeight="1">
      <c r="D967" s="8"/>
    </row>
    <row r="968" ht="15.75" customHeight="1">
      <c r="D968" s="8"/>
    </row>
    <row r="969" ht="15.75" customHeight="1">
      <c r="D969" s="8"/>
    </row>
    <row r="970" ht="15.75" customHeight="1">
      <c r="D970" s="8"/>
    </row>
    <row r="971" ht="15.75" customHeight="1">
      <c r="D971" s="8"/>
    </row>
    <row r="972" ht="15.75" customHeight="1">
      <c r="D972" s="8"/>
    </row>
    <row r="973" ht="15.75" customHeight="1">
      <c r="D973" s="8"/>
    </row>
    <row r="974" ht="15.75" customHeight="1">
      <c r="D974" s="8"/>
    </row>
    <row r="975" ht="15.75" customHeight="1">
      <c r="D975" s="8"/>
    </row>
    <row r="976" ht="15.75" customHeight="1">
      <c r="D976" s="8"/>
    </row>
    <row r="977" ht="15.75" customHeight="1">
      <c r="D977" s="8"/>
    </row>
    <row r="978" ht="15.75" customHeight="1">
      <c r="D978" s="8"/>
    </row>
    <row r="979" ht="15.75" customHeight="1">
      <c r="D979" s="8"/>
    </row>
    <row r="980" ht="15.75" customHeight="1">
      <c r="D980" s="8"/>
    </row>
    <row r="981" ht="15.75" customHeight="1">
      <c r="D981" s="8"/>
    </row>
    <row r="982" ht="15.75" customHeight="1">
      <c r="D982" s="8"/>
    </row>
    <row r="983" ht="15.75" customHeight="1">
      <c r="D983" s="8"/>
    </row>
    <row r="984" ht="15.75" customHeight="1">
      <c r="D984" s="8"/>
    </row>
    <row r="985" ht="15.75" customHeight="1">
      <c r="D985" s="8"/>
    </row>
    <row r="986" ht="15.75" customHeight="1">
      <c r="D986" s="8"/>
    </row>
    <row r="987" ht="15.75" customHeight="1">
      <c r="D987" s="8"/>
    </row>
    <row r="988" ht="15.75" customHeight="1">
      <c r="D988" s="8"/>
    </row>
    <row r="989" ht="15.75" customHeight="1">
      <c r="D989" s="8"/>
    </row>
    <row r="990" ht="15.75" customHeight="1">
      <c r="D990" s="8"/>
    </row>
    <row r="991" ht="15.75" customHeight="1">
      <c r="D991" s="8"/>
    </row>
    <row r="992" ht="15.75" customHeight="1">
      <c r="D992" s="8"/>
    </row>
    <row r="993" ht="15.75" customHeight="1">
      <c r="D993" s="8"/>
    </row>
    <row r="994" ht="15.75" customHeight="1">
      <c r="D994" s="8"/>
    </row>
    <row r="995" ht="15.75" customHeight="1">
      <c r="D995" s="8"/>
    </row>
    <row r="996" ht="15.75" customHeight="1">
      <c r="D996" s="8"/>
    </row>
    <row r="997" ht="15.75" customHeight="1">
      <c r="D997" s="8"/>
    </row>
    <row r="998" ht="15.75" customHeight="1">
      <c r="D998" s="8"/>
    </row>
    <row r="999" ht="15.75" customHeight="1">
      <c r="D999" s="8"/>
    </row>
    <row r="1000" ht="15.75" customHeight="1">
      <c r="D1000" s="8"/>
    </row>
  </sheetData>
  <mergeCells count="49">
    <mergeCell ref="A1:L1"/>
    <mergeCell ref="A4:L4"/>
    <mergeCell ref="N4:R4"/>
    <mergeCell ref="A5:L5"/>
    <mergeCell ref="A6:L6"/>
    <mergeCell ref="B7:L7"/>
    <mergeCell ref="B8:L8"/>
    <mergeCell ref="A10:L10"/>
    <mergeCell ref="B12:L12"/>
    <mergeCell ref="B14:L14"/>
    <mergeCell ref="B16:L16"/>
    <mergeCell ref="B17:L17"/>
    <mergeCell ref="B18:L18"/>
    <mergeCell ref="A20:D20"/>
    <mergeCell ref="A22:L22"/>
    <mergeCell ref="A23:L23"/>
    <mergeCell ref="A24:L24"/>
    <mergeCell ref="A25:L25"/>
    <mergeCell ref="A26:L26"/>
    <mergeCell ref="A28:L28"/>
    <mergeCell ref="A29:L29"/>
    <mergeCell ref="B30:L30"/>
    <mergeCell ref="B31:L31"/>
    <mergeCell ref="B32:L32"/>
    <mergeCell ref="B33:L33"/>
    <mergeCell ref="B34:L34"/>
    <mergeCell ref="B35:L35"/>
    <mergeCell ref="B36:L36"/>
    <mergeCell ref="A37:L37"/>
    <mergeCell ref="B38:L38"/>
    <mergeCell ref="B39:L39"/>
    <mergeCell ref="B40:L40"/>
    <mergeCell ref="B41:L41"/>
    <mergeCell ref="B42:L42"/>
    <mergeCell ref="B43:L43"/>
    <mergeCell ref="C58:L58"/>
    <mergeCell ref="C59:L59"/>
    <mergeCell ref="C60:L60"/>
    <mergeCell ref="C61:L61"/>
    <mergeCell ref="C62:L62"/>
    <mergeCell ref="C63:L63"/>
    <mergeCell ref="A85:L85"/>
    <mergeCell ref="B44:L44"/>
    <mergeCell ref="B45:L45"/>
    <mergeCell ref="A47:L47"/>
    <mergeCell ref="B48:L48"/>
    <mergeCell ref="B49:L49"/>
    <mergeCell ref="A51:L51"/>
    <mergeCell ref="C57:L57"/>
  </mergeCells>
  <hyperlinks>
    <hyperlink r:id="rId1" ref="E20"/>
    <hyperlink r:id="rId2" ref="A52"/>
    <hyperlink r:id="rId3" ref="A70"/>
    <hyperlink r:id="rId4" ref="A71"/>
    <hyperlink r:id="rId5" ref="A75"/>
    <hyperlink r:id="rId6" ref="A79"/>
    <hyperlink r:id="rId7" ref="A82"/>
  </hyperlinks>
  <printOptions/>
  <pageMargins bottom="0.75" footer="0.0" header="0.0" left="0.7" right="0.7" top="0.75"/>
  <pageSetup orientation="landscape"/>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7.86"/>
    <col customWidth="1" min="3" max="3" width="29.86"/>
    <col customWidth="1" min="4" max="4" width="7.29"/>
    <col customWidth="1" min="5" max="5" width="12.43"/>
    <col customWidth="1" min="6" max="6" width="15.14"/>
    <col customWidth="1" min="7" max="7" width="12.0"/>
    <col customWidth="1" min="8" max="8" width="8.86"/>
    <col customWidth="1" min="9" max="9" width="32.43"/>
    <col customWidth="1" min="10" max="10" width="12.43"/>
    <col customWidth="1" min="11" max="11" width="11.0"/>
    <col customWidth="1" min="12" max="26" width="8.86"/>
  </cols>
  <sheetData>
    <row r="1" ht="30.75" customHeight="1">
      <c r="A1" s="1" t="s">
        <v>0</v>
      </c>
      <c r="B1" s="2" t="s">
        <v>1</v>
      </c>
      <c r="C1" s="3" t="s">
        <v>3</v>
      </c>
      <c r="D1" s="1" t="s">
        <v>4</v>
      </c>
      <c r="E1" s="1" t="s">
        <v>5</v>
      </c>
      <c r="F1" s="1" t="s">
        <v>6</v>
      </c>
      <c r="G1" s="1" t="s">
        <v>7</v>
      </c>
      <c r="H1" s="7"/>
      <c r="I1" s="10" t="s">
        <v>8</v>
      </c>
      <c r="J1" s="10" t="s">
        <v>6</v>
      </c>
      <c r="K1" s="12" t="s">
        <v>7</v>
      </c>
      <c r="L1" s="7"/>
      <c r="M1" s="7"/>
      <c r="N1" s="7"/>
      <c r="O1" s="7"/>
      <c r="P1" s="7"/>
      <c r="Q1" s="7"/>
      <c r="R1" s="7"/>
      <c r="S1" s="7"/>
      <c r="T1" s="7"/>
      <c r="U1" s="7"/>
      <c r="V1" s="7"/>
      <c r="W1" s="7"/>
      <c r="X1" s="7"/>
      <c r="Y1" s="7"/>
      <c r="Z1" s="7"/>
    </row>
    <row r="2">
      <c r="A2" s="17">
        <v>45413.0</v>
      </c>
      <c r="B2" s="20" t="s">
        <v>12</v>
      </c>
      <c r="C2" s="21" t="s">
        <v>13</v>
      </c>
      <c r="D2" s="23">
        <v>0.3</v>
      </c>
      <c r="E2" s="23" t="s">
        <v>15</v>
      </c>
      <c r="F2" s="23" t="s">
        <v>15</v>
      </c>
      <c r="G2" s="17"/>
      <c r="I2" s="26"/>
      <c r="J2" s="26"/>
      <c r="K2" s="27"/>
    </row>
    <row r="3">
      <c r="A3" s="17">
        <v>45604.0</v>
      </c>
      <c r="B3" s="20" t="s">
        <v>19</v>
      </c>
      <c r="C3" s="21" t="s">
        <v>20</v>
      </c>
      <c r="D3" s="23">
        <v>4.0</v>
      </c>
      <c r="E3" s="23" t="s">
        <v>15</v>
      </c>
      <c r="F3" s="23" t="s">
        <v>15</v>
      </c>
      <c r="G3" s="17"/>
      <c r="I3" s="26"/>
      <c r="J3" s="26"/>
      <c r="K3" s="30"/>
    </row>
    <row r="4">
      <c r="A4" s="17">
        <v>45611.0</v>
      </c>
      <c r="B4" s="20" t="s">
        <v>22</v>
      </c>
      <c r="C4" s="21" t="s">
        <v>23</v>
      </c>
      <c r="D4" s="23">
        <v>0.3</v>
      </c>
      <c r="E4" s="23" t="s">
        <v>15</v>
      </c>
      <c r="F4" s="23" t="s">
        <v>15</v>
      </c>
      <c r="G4" s="17"/>
      <c r="I4" s="26"/>
      <c r="J4" s="26"/>
      <c r="K4" s="27"/>
    </row>
    <row r="5" ht="40.5" customHeight="1">
      <c r="A5" s="17">
        <v>45622.0</v>
      </c>
      <c r="B5" s="20" t="s">
        <v>24</v>
      </c>
      <c r="C5" s="21" t="s">
        <v>25</v>
      </c>
      <c r="D5" s="23">
        <v>4.0</v>
      </c>
      <c r="E5" s="23" t="s">
        <v>15</v>
      </c>
      <c r="F5" s="23" t="s">
        <v>15</v>
      </c>
      <c r="G5" s="17"/>
      <c r="I5" s="26"/>
      <c r="J5" s="26"/>
      <c r="K5" s="27"/>
    </row>
    <row r="6" ht="38.25" customHeight="1">
      <c r="A6" s="17">
        <v>45666.0</v>
      </c>
      <c r="B6" s="20" t="s">
        <v>27</v>
      </c>
      <c r="C6" s="21" t="s">
        <v>28</v>
      </c>
      <c r="D6" s="23">
        <v>3.0</v>
      </c>
      <c r="E6" s="23" t="s">
        <v>15</v>
      </c>
      <c r="F6" s="23" t="s">
        <v>15</v>
      </c>
      <c r="G6" s="17"/>
      <c r="I6" s="26"/>
      <c r="J6" s="26"/>
      <c r="K6" s="30"/>
    </row>
    <row r="7">
      <c r="A7" s="17">
        <v>45670.0</v>
      </c>
      <c r="B7" s="20" t="s">
        <v>29</v>
      </c>
      <c r="C7" s="26" t="s">
        <v>30</v>
      </c>
      <c r="D7" s="23">
        <v>0.5</v>
      </c>
      <c r="E7" s="23" t="s">
        <v>15</v>
      </c>
      <c r="F7" s="23" t="s">
        <v>15</v>
      </c>
      <c r="G7" s="17"/>
      <c r="I7" s="26"/>
      <c r="J7" s="34"/>
      <c r="K7" s="27"/>
    </row>
    <row r="8">
      <c r="A8" s="17">
        <v>45671.0</v>
      </c>
      <c r="B8" s="20" t="s">
        <v>31</v>
      </c>
      <c r="C8" s="21" t="s">
        <v>32</v>
      </c>
      <c r="D8" s="23">
        <v>0.5</v>
      </c>
      <c r="E8" s="23" t="s">
        <v>15</v>
      </c>
      <c r="F8" s="23" t="s">
        <v>15</v>
      </c>
      <c r="G8" s="17"/>
      <c r="I8" s="26"/>
      <c r="J8" s="34"/>
      <c r="K8" s="27"/>
    </row>
    <row r="9">
      <c r="A9" s="17">
        <v>45681.0</v>
      </c>
      <c r="B9" s="20" t="s">
        <v>33</v>
      </c>
      <c r="C9" s="21" t="s">
        <v>34</v>
      </c>
      <c r="D9" s="23">
        <v>0.25</v>
      </c>
      <c r="E9" s="23" t="s">
        <v>15</v>
      </c>
      <c r="F9" s="23" t="s">
        <v>15</v>
      </c>
      <c r="G9" s="17"/>
      <c r="I9" s="26"/>
      <c r="J9" s="26"/>
      <c r="K9" s="27"/>
    </row>
    <row r="10">
      <c r="A10" s="17">
        <v>45681.0</v>
      </c>
      <c r="B10" s="20" t="s">
        <v>35</v>
      </c>
      <c r="C10" s="21" t="s">
        <v>36</v>
      </c>
      <c r="D10" s="23">
        <v>1.0</v>
      </c>
      <c r="E10" s="23" t="s">
        <v>15</v>
      </c>
      <c r="F10" s="26" t="s">
        <v>37</v>
      </c>
      <c r="G10" s="17">
        <v>45678.0</v>
      </c>
      <c r="I10" s="26"/>
      <c r="J10" s="34"/>
      <c r="K10" s="27"/>
    </row>
    <row r="11">
      <c r="A11" s="17">
        <v>45762.0</v>
      </c>
      <c r="B11" s="23">
        <v>1.5</v>
      </c>
      <c r="C11" s="21" t="s">
        <v>38</v>
      </c>
      <c r="D11" s="23">
        <v>12.0</v>
      </c>
      <c r="E11" s="23" t="s">
        <v>39</v>
      </c>
      <c r="F11" s="23" t="s">
        <v>40</v>
      </c>
      <c r="G11" s="17">
        <v>45702.0</v>
      </c>
      <c r="I11" s="26"/>
      <c r="J11" s="34"/>
      <c r="K11" s="27"/>
    </row>
    <row r="12">
      <c r="A12" s="17">
        <v>45798.0</v>
      </c>
      <c r="B12" s="23">
        <v>1.6</v>
      </c>
      <c r="C12" s="21" t="s">
        <v>41</v>
      </c>
      <c r="D12" s="23">
        <v>6.0</v>
      </c>
      <c r="E12" s="23" t="s">
        <v>39</v>
      </c>
      <c r="F12" s="23" t="s">
        <v>42</v>
      </c>
      <c r="G12" s="17">
        <v>45702.0</v>
      </c>
      <c r="I12" s="26"/>
      <c r="J12" s="34"/>
      <c r="K12" s="27"/>
    </row>
    <row r="13">
      <c r="A13" s="17">
        <v>45827.0</v>
      </c>
      <c r="B13" s="20" t="s">
        <v>43</v>
      </c>
      <c r="C13" s="21" t="s">
        <v>44</v>
      </c>
      <c r="D13" s="23">
        <v>5.0</v>
      </c>
      <c r="E13" s="23" t="s">
        <v>39</v>
      </c>
      <c r="F13" s="23" t="s">
        <v>42</v>
      </c>
      <c r="G13" s="17">
        <v>45702.0</v>
      </c>
      <c r="I13" s="26"/>
      <c r="J13" s="26"/>
      <c r="K13" s="30"/>
    </row>
    <row r="14">
      <c r="A14" s="17">
        <v>45831.0</v>
      </c>
      <c r="B14" s="23">
        <v>1.7</v>
      </c>
      <c r="C14" s="21" t="s">
        <v>45</v>
      </c>
      <c r="D14" s="23">
        <v>1.5</v>
      </c>
      <c r="E14" s="23" t="s">
        <v>39</v>
      </c>
      <c r="F14" s="23" t="s">
        <v>15</v>
      </c>
      <c r="G14" s="17">
        <v>45813.0</v>
      </c>
      <c r="I14" s="26"/>
      <c r="J14" s="26"/>
      <c r="K14" s="30"/>
    </row>
    <row r="15">
      <c r="A15" s="17">
        <v>45895.0</v>
      </c>
      <c r="B15" s="20" t="s">
        <v>47</v>
      </c>
      <c r="C15" s="21" t="s">
        <v>48</v>
      </c>
      <c r="D15" s="23">
        <v>0.5</v>
      </c>
      <c r="E15" s="23" t="s">
        <v>15</v>
      </c>
      <c r="F15" s="23"/>
      <c r="G15" s="17"/>
      <c r="I15" s="26"/>
      <c r="J15" s="26"/>
      <c r="K15" s="30"/>
    </row>
    <row r="16">
      <c r="A16" s="17">
        <v>45895.0</v>
      </c>
      <c r="B16" s="20" t="s">
        <v>51</v>
      </c>
      <c r="C16" s="21" t="s">
        <v>52</v>
      </c>
      <c r="D16" s="23">
        <v>1.0</v>
      </c>
      <c r="E16" s="23" t="s">
        <v>15</v>
      </c>
      <c r="F16" s="23"/>
      <c r="G16" s="17"/>
      <c r="I16" s="26"/>
      <c r="J16" s="26"/>
      <c r="K16" s="30"/>
    </row>
    <row r="17">
      <c r="A17" s="17">
        <v>45993.0</v>
      </c>
      <c r="B17" s="20" t="s">
        <v>53</v>
      </c>
      <c r="C17" s="21" t="s">
        <v>54</v>
      </c>
      <c r="D17" s="23">
        <v>0.5</v>
      </c>
      <c r="E17" s="23" t="s">
        <v>39</v>
      </c>
      <c r="F17" s="23" t="s">
        <v>15</v>
      </c>
      <c r="G17" s="17">
        <v>45980.0</v>
      </c>
      <c r="I17" s="36"/>
      <c r="J17" s="36"/>
      <c r="K17" s="42"/>
    </row>
    <row r="18">
      <c r="A18" s="17"/>
      <c r="B18" s="20"/>
      <c r="C18" s="21"/>
      <c r="D18" s="23"/>
      <c r="E18" s="23"/>
      <c r="F18" s="23"/>
      <c r="G18" s="17"/>
      <c r="I18" s="36"/>
      <c r="J18" s="36"/>
      <c r="K18" s="42"/>
    </row>
    <row r="19">
      <c r="A19" s="17"/>
      <c r="B19" s="23"/>
      <c r="C19" s="21"/>
      <c r="D19" s="23"/>
      <c r="E19" s="23"/>
      <c r="F19" s="23"/>
      <c r="G19" s="17"/>
      <c r="I19" s="36"/>
      <c r="J19" s="36"/>
      <c r="K19" s="42"/>
    </row>
    <row r="20">
      <c r="A20" s="17"/>
      <c r="B20" s="23"/>
      <c r="C20" s="21"/>
      <c r="D20" s="23"/>
      <c r="E20" s="23"/>
      <c r="F20" s="23"/>
      <c r="G20" s="17"/>
      <c r="I20" s="36"/>
      <c r="J20" s="36"/>
      <c r="K20" s="42"/>
    </row>
    <row r="21" ht="15.75" customHeight="1">
      <c r="A21" s="17"/>
      <c r="B21" s="23"/>
      <c r="C21" s="21"/>
      <c r="D21" s="23"/>
      <c r="E21" s="23"/>
      <c r="F21" s="23"/>
      <c r="G21" s="17"/>
      <c r="I21" s="36"/>
      <c r="J21" s="36"/>
      <c r="K21" s="42"/>
    </row>
    <row r="22" ht="15.75" customHeight="1">
      <c r="A22" s="17"/>
      <c r="B22" s="23"/>
      <c r="C22" s="21"/>
      <c r="D22" s="23"/>
      <c r="E22" s="23"/>
      <c r="F22" s="23"/>
      <c r="G22" s="17"/>
      <c r="I22" s="36"/>
      <c r="J22" s="36"/>
      <c r="K22" s="42"/>
    </row>
    <row r="23" ht="15.75" customHeight="1">
      <c r="A23" s="17"/>
      <c r="B23" s="23"/>
      <c r="C23" s="21"/>
      <c r="D23" s="23"/>
      <c r="E23" s="23"/>
      <c r="F23" s="23"/>
      <c r="G23" s="17"/>
      <c r="I23" s="36"/>
      <c r="J23" s="36"/>
      <c r="K23" s="42"/>
    </row>
    <row r="24" ht="15.75" customHeight="1">
      <c r="A24" s="17"/>
      <c r="B24" s="23"/>
      <c r="C24" s="21"/>
      <c r="D24" s="23"/>
      <c r="E24" s="23"/>
      <c r="F24" s="23"/>
      <c r="G24" s="17"/>
      <c r="I24" s="36"/>
      <c r="J24" s="36"/>
      <c r="K24" s="42"/>
    </row>
    <row r="25" ht="15.75" customHeight="1">
      <c r="A25" s="17"/>
      <c r="B25" s="23"/>
      <c r="C25" s="21"/>
      <c r="D25" s="23"/>
      <c r="E25" s="23"/>
      <c r="F25" s="23"/>
      <c r="G25" s="17"/>
      <c r="I25" s="36"/>
      <c r="J25" s="36"/>
      <c r="K25" s="42"/>
    </row>
    <row r="26" ht="15.75" customHeight="1">
      <c r="A26" s="17"/>
      <c r="B26" s="23"/>
      <c r="C26" s="21"/>
      <c r="D26" s="23"/>
      <c r="E26" s="23"/>
      <c r="F26" s="23"/>
      <c r="G26" s="17"/>
      <c r="I26" s="36"/>
      <c r="J26" s="36"/>
      <c r="K26" s="42"/>
    </row>
    <row r="27" ht="15.75" customHeight="1">
      <c r="A27" s="17"/>
      <c r="B27" s="23"/>
      <c r="C27" s="26"/>
      <c r="D27" s="34"/>
      <c r="E27" s="23"/>
      <c r="F27" s="23"/>
      <c r="G27" s="17"/>
      <c r="I27" s="36"/>
      <c r="J27" s="36"/>
      <c r="K27" s="42"/>
    </row>
    <row r="28" ht="15.75" customHeight="1">
      <c r="A28" s="17"/>
      <c r="B28" s="23"/>
      <c r="C28" s="21"/>
      <c r="D28" s="23"/>
      <c r="E28" s="23"/>
      <c r="F28" s="23"/>
      <c r="G28" s="17"/>
      <c r="I28" s="36"/>
      <c r="J28" s="36"/>
      <c r="K28" s="42"/>
    </row>
    <row r="29" ht="15.75" customHeight="1">
      <c r="A29" s="17"/>
      <c r="B29" s="23"/>
      <c r="C29" s="21"/>
      <c r="D29" s="23"/>
      <c r="E29" s="23"/>
      <c r="F29" s="23"/>
      <c r="G29" s="17"/>
      <c r="I29" s="36"/>
      <c r="J29" s="36"/>
      <c r="K29" s="42"/>
    </row>
    <row r="30" ht="15.75" customHeight="1">
      <c r="A30" s="23"/>
      <c r="B30" s="23"/>
      <c r="C30" s="26"/>
      <c r="D30" s="34"/>
      <c r="E30" s="23"/>
      <c r="F30" s="23"/>
      <c r="G30" s="17"/>
      <c r="I30" s="36"/>
      <c r="J30" s="36"/>
      <c r="K30" s="42"/>
    </row>
    <row r="31" ht="15.75" customHeight="1">
      <c r="A31" s="23"/>
      <c r="B31" s="23"/>
      <c r="C31" s="26"/>
      <c r="D31" s="34"/>
      <c r="E31" s="23"/>
      <c r="F31" s="23"/>
      <c r="G31" s="17"/>
      <c r="I31" s="36"/>
      <c r="J31" s="36"/>
      <c r="K31" s="42"/>
    </row>
    <row r="32" ht="15.75" customHeight="1">
      <c r="A32" s="17"/>
      <c r="B32" s="23"/>
      <c r="C32" s="21"/>
      <c r="D32" s="23"/>
      <c r="E32" s="23"/>
      <c r="F32" s="23"/>
      <c r="G32" s="17"/>
      <c r="I32" s="36"/>
      <c r="J32" s="36"/>
      <c r="K32" s="42"/>
    </row>
    <row r="33" ht="15.75" customHeight="1">
      <c r="A33" s="27"/>
      <c r="B33" s="30"/>
      <c r="C33" s="26"/>
      <c r="D33" s="34"/>
      <c r="E33" s="34"/>
      <c r="F33" s="34"/>
      <c r="G33" s="27"/>
      <c r="I33" s="36"/>
      <c r="J33" s="36"/>
      <c r="K33" s="42"/>
    </row>
    <row r="34" ht="15.75" customHeight="1">
      <c r="A34" s="27"/>
      <c r="B34" s="30"/>
      <c r="C34" s="26"/>
      <c r="D34" s="34"/>
      <c r="E34" s="34"/>
      <c r="F34" s="34"/>
      <c r="G34" s="27"/>
      <c r="I34" s="36"/>
      <c r="J34" s="36"/>
      <c r="K34" s="42"/>
    </row>
    <row r="35" ht="15.75" customHeight="1">
      <c r="A35" s="27"/>
      <c r="B35" s="30"/>
      <c r="C35" s="26"/>
      <c r="D35" s="34"/>
      <c r="E35" s="34"/>
      <c r="F35" s="34"/>
      <c r="G35" s="27"/>
      <c r="I35" s="36"/>
      <c r="J35" s="36"/>
      <c r="K35" s="42"/>
    </row>
    <row r="36" ht="15.75" customHeight="1">
      <c r="A36" s="27"/>
      <c r="B36" s="30"/>
      <c r="C36" s="26"/>
      <c r="D36" s="34"/>
      <c r="E36" s="34"/>
      <c r="F36" s="34"/>
      <c r="G36" s="27"/>
      <c r="I36" s="36"/>
      <c r="J36" s="36"/>
      <c r="K36" s="42"/>
    </row>
    <row r="37" ht="15.75" customHeight="1">
      <c r="A37" s="27"/>
      <c r="B37" s="30"/>
      <c r="C37" s="26"/>
      <c r="D37" s="34"/>
      <c r="E37" s="34"/>
      <c r="F37" s="34"/>
      <c r="G37" s="27"/>
      <c r="I37" s="36"/>
      <c r="J37" s="36"/>
      <c r="K37" s="42"/>
    </row>
    <row r="38" ht="15.75" customHeight="1">
      <c r="A38" s="27"/>
      <c r="B38" s="30"/>
      <c r="C38" s="26"/>
      <c r="D38" s="34"/>
      <c r="E38" s="34"/>
      <c r="F38" s="34"/>
      <c r="G38" s="27"/>
      <c r="I38" s="36"/>
      <c r="J38" s="36"/>
      <c r="K38" s="42"/>
    </row>
    <row r="39" ht="15.75" customHeight="1">
      <c r="A39" s="27"/>
      <c r="B39" s="30"/>
      <c r="C39" s="26"/>
      <c r="D39" s="34"/>
      <c r="E39" s="34"/>
      <c r="F39" s="34"/>
      <c r="G39" s="27"/>
      <c r="I39" s="36"/>
      <c r="J39" s="36"/>
      <c r="K39" s="42"/>
    </row>
    <row r="40" ht="15.75" customHeight="1">
      <c r="A40" s="27"/>
      <c r="B40" s="30"/>
      <c r="C40" s="26"/>
      <c r="D40" s="34"/>
      <c r="E40" s="34"/>
      <c r="F40" s="34"/>
      <c r="G40" s="27"/>
      <c r="I40" s="36"/>
      <c r="J40" s="36"/>
      <c r="K40" s="42"/>
    </row>
    <row r="41" ht="15.75" customHeight="1">
      <c r="A41" s="27"/>
      <c r="B41" s="30"/>
      <c r="C41" s="26"/>
      <c r="D41" s="34"/>
      <c r="E41" s="34"/>
      <c r="F41" s="34"/>
      <c r="G41" s="27"/>
      <c r="I41" s="36"/>
      <c r="J41" s="36"/>
      <c r="K41" s="42"/>
    </row>
    <row r="42" ht="15.75" customHeight="1">
      <c r="A42" s="27"/>
      <c r="B42" s="30"/>
      <c r="C42" s="26"/>
      <c r="D42" s="34"/>
      <c r="E42" s="34"/>
      <c r="F42" s="34"/>
      <c r="G42" s="27"/>
      <c r="I42" s="36"/>
      <c r="J42" s="36"/>
      <c r="K42" s="42"/>
    </row>
    <row r="43" ht="15.75" customHeight="1">
      <c r="A43" s="27"/>
      <c r="B43" s="30"/>
      <c r="C43" s="26"/>
      <c r="D43" s="34"/>
      <c r="E43" s="34"/>
      <c r="F43" s="34"/>
      <c r="G43" s="27"/>
      <c r="I43" s="36"/>
      <c r="J43" s="36"/>
      <c r="K43" s="42"/>
    </row>
    <row r="44" ht="15.75" customHeight="1">
      <c r="A44" s="27"/>
      <c r="B44" s="30"/>
      <c r="C44" s="26"/>
      <c r="D44" s="34"/>
      <c r="E44" s="34"/>
      <c r="F44" s="34"/>
      <c r="G44" s="27"/>
      <c r="I44" s="36"/>
      <c r="J44" s="36"/>
      <c r="K44" s="42"/>
    </row>
    <row r="45" ht="15.75" customHeight="1">
      <c r="A45" s="27"/>
      <c r="B45" s="30"/>
      <c r="C45" s="26"/>
      <c r="D45" s="34"/>
      <c r="E45" s="34"/>
      <c r="F45" s="34"/>
      <c r="G45" s="27"/>
      <c r="I45" s="36"/>
      <c r="J45" s="36"/>
      <c r="K45" s="42"/>
    </row>
    <row r="46" ht="15.75" customHeight="1">
      <c r="A46" s="27"/>
      <c r="B46" s="30"/>
      <c r="C46" s="26"/>
      <c r="D46" s="34"/>
      <c r="E46" s="34"/>
      <c r="F46" s="34"/>
      <c r="G46" s="27"/>
      <c r="I46" s="36"/>
      <c r="J46" s="36"/>
      <c r="K46" s="42"/>
    </row>
    <row r="47" ht="15.75" customHeight="1">
      <c r="A47" s="27"/>
      <c r="B47" s="57"/>
      <c r="C47" s="26"/>
      <c r="D47" s="34"/>
      <c r="E47" s="34"/>
      <c r="F47" s="34"/>
      <c r="G47" s="27"/>
      <c r="I47" s="36"/>
      <c r="J47" s="36"/>
      <c r="K47" s="42"/>
    </row>
    <row r="48" ht="15.75" customHeight="1">
      <c r="A48" s="27"/>
      <c r="B48" s="57"/>
      <c r="C48" s="26"/>
      <c r="D48" s="34"/>
      <c r="E48" s="34"/>
      <c r="F48" s="34"/>
      <c r="G48" s="27"/>
      <c r="I48" s="36"/>
      <c r="J48" s="36"/>
      <c r="K48" s="42"/>
    </row>
    <row r="49" ht="15.75" customHeight="1">
      <c r="A49" s="30"/>
      <c r="B49" s="60"/>
      <c r="C49" s="26"/>
      <c r="D49" s="34"/>
      <c r="E49" s="34"/>
      <c r="F49" s="34"/>
      <c r="G49" s="30"/>
      <c r="I49" s="36"/>
      <c r="J49" s="36"/>
      <c r="K49" s="42"/>
    </row>
    <row r="50" ht="15.75" customHeight="1">
      <c r="A50" s="30"/>
      <c r="B50" s="60"/>
      <c r="C50" s="26"/>
      <c r="D50" s="34"/>
      <c r="E50" s="34"/>
      <c r="F50" s="34"/>
      <c r="G50" s="30"/>
      <c r="I50" s="36"/>
      <c r="J50" s="36"/>
      <c r="K50" s="42"/>
    </row>
    <row r="51" ht="15.75" customHeight="1">
      <c r="A51" s="30"/>
      <c r="B51" s="60"/>
      <c r="C51" s="26"/>
      <c r="D51" s="34"/>
      <c r="E51" s="34"/>
      <c r="F51" s="34"/>
      <c r="G51" s="30"/>
      <c r="I51" s="36"/>
      <c r="J51" s="36"/>
      <c r="K51" s="42"/>
    </row>
    <row r="52" ht="15.75" customHeight="1">
      <c r="A52" s="30"/>
      <c r="B52" s="60"/>
      <c r="C52" s="26"/>
      <c r="D52" s="34"/>
      <c r="E52" s="34"/>
      <c r="F52" s="34"/>
      <c r="G52" s="30"/>
      <c r="I52" s="36"/>
      <c r="J52" s="36"/>
      <c r="K52" s="42"/>
    </row>
    <row r="53" ht="15.75" customHeight="1">
      <c r="A53" s="30"/>
      <c r="B53" s="60"/>
      <c r="C53" s="26"/>
      <c r="D53" s="34"/>
      <c r="E53" s="34"/>
      <c r="F53" s="34"/>
      <c r="G53" s="30"/>
      <c r="I53" s="36"/>
      <c r="J53" s="36"/>
      <c r="K53" s="42"/>
    </row>
    <row r="54" ht="15.75" customHeight="1">
      <c r="A54" s="30"/>
      <c r="B54" s="60"/>
      <c r="C54" s="26"/>
      <c r="D54" s="34"/>
      <c r="E54" s="34"/>
      <c r="F54" s="34"/>
      <c r="G54" s="30"/>
      <c r="I54" s="36"/>
      <c r="J54" s="36"/>
      <c r="K54" s="42"/>
    </row>
    <row r="55" ht="15.75" customHeight="1">
      <c r="A55" s="30"/>
      <c r="B55" s="60"/>
      <c r="C55" s="26"/>
      <c r="D55" s="34"/>
      <c r="E55" s="34"/>
      <c r="F55" s="34"/>
      <c r="G55" s="30"/>
      <c r="I55" s="36"/>
      <c r="J55" s="36"/>
      <c r="K55" s="42"/>
    </row>
    <row r="56" ht="15.75" customHeight="1">
      <c r="A56" s="30"/>
      <c r="B56" s="60"/>
      <c r="C56" s="26"/>
      <c r="D56" s="34"/>
      <c r="E56" s="34"/>
      <c r="F56" s="34"/>
      <c r="G56" s="30"/>
      <c r="I56" s="36"/>
      <c r="J56" s="36"/>
      <c r="K56" s="42"/>
    </row>
    <row r="57" ht="15.75" customHeight="1">
      <c r="A57" s="30"/>
      <c r="B57" s="60"/>
      <c r="C57" s="26"/>
      <c r="D57" s="34"/>
      <c r="E57" s="34"/>
      <c r="F57" s="34"/>
      <c r="G57" s="30"/>
      <c r="I57" s="36"/>
      <c r="J57" s="36"/>
      <c r="K57" s="42"/>
    </row>
    <row r="58" ht="15.75" customHeight="1">
      <c r="A58" s="30"/>
      <c r="B58" s="60"/>
      <c r="C58" s="26"/>
      <c r="D58" s="34"/>
      <c r="E58" s="34"/>
      <c r="F58" s="34"/>
      <c r="G58" s="30"/>
      <c r="I58" s="36"/>
      <c r="J58" s="36"/>
      <c r="K58" s="42"/>
    </row>
    <row r="59" ht="15.75" customHeight="1">
      <c r="A59" s="30"/>
      <c r="B59" s="60"/>
      <c r="C59" s="26"/>
      <c r="D59" s="34"/>
      <c r="E59" s="34"/>
      <c r="F59" s="34"/>
      <c r="G59" s="30"/>
      <c r="I59" s="36"/>
      <c r="J59" s="36"/>
      <c r="K59" s="42"/>
    </row>
    <row r="60" ht="15.75" customHeight="1">
      <c r="A60" s="30"/>
      <c r="B60" s="60"/>
      <c r="C60" s="26"/>
      <c r="D60" s="34"/>
      <c r="E60" s="34"/>
      <c r="F60" s="34"/>
      <c r="G60" s="30"/>
      <c r="I60" s="36"/>
      <c r="J60" s="36"/>
      <c r="K60" s="42"/>
    </row>
    <row r="61" ht="15.75" customHeight="1">
      <c r="A61" s="30"/>
      <c r="B61" s="60"/>
      <c r="C61" s="26"/>
      <c r="D61" s="34"/>
      <c r="E61" s="34"/>
      <c r="F61" s="34"/>
      <c r="G61" s="30"/>
      <c r="I61" s="36"/>
      <c r="J61" s="36"/>
      <c r="K61" s="42"/>
    </row>
    <row r="62" ht="15.75" customHeight="1">
      <c r="A62" s="30"/>
      <c r="B62" s="60"/>
      <c r="C62" s="26"/>
      <c r="D62" s="34"/>
      <c r="E62" s="34"/>
      <c r="F62" s="34"/>
      <c r="G62" s="30"/>
      <c r="I62" s="36"/>
      <c r="J62" s="36"/>
      <c r="K62" s="42"/>
    </row>
    <row r="63" ht="15.75" customHeight="1">
      <c r="A63" s="30"/>
      <c r="B63" s="60"/>
      <c r="C63" s="26"/>
      <c r="D63" s="34"/>
      <c r="E63" s="34"/>
      <c r="F63" s="34"/>
      <c r="G63" s="30"/>
      <c r="I63" s="36"/>
      <c r="J63" s="36"/>
      <c r="K63" s="42"/>
    </row>
    <row r="64" ht="15.75" customHeight="1">
      <c r="A64" s="30"/>
      <c r="B64" s="60"/>
      <c r="C64" s="26"/>
      <c r="D64" s="34"/>
      <c r="E64" s="34"/>
      <c r="F64" s="34"/>
      <c r="G64" s="30"/>
      <c r="I64" s="36"/>
      <c r="J64" s="36"/>
      <c r="K64" s="42"/>
    </row>
    <row r="65" ht="15.75" customHeight="1">
      <c r="A65" s="30"/>
      <c r="B65" s="60"/>
      <c r="C65" s="26"/>
      <c r="D65" s="34"/>
      <c r="E65" s="34"/>
      <c r="F65" s="34"/>
      <c r="G65" s="30"/>
      <c r="I65" s="36"/>
      <c r="J65" s="36"/>
      <c r="K65" s="42"/>
    </row>
    <row r="66" ht="15.75" customHeight="1">
      <c r="A66" s="30"/>
      <c r="B66" s="60"/>
      <c r="C66" s="26"/>
      <c r="D66" s="34"/>
      <c r="E66" s="34"/>
      <c r="F66" s="34"/>
      <c r="G66" s="30"/>
      <c r="I66" s="36"/>
      <c r="J66" s="36"/>
      <c r="K66" s="42"/>
    </row>
    <row r="67" ht="15.75" customHeight="1">
      <c r="A67" s="30"/>
      <c r="B67" s="60"/>
      <c r="C67" s="26"/>
      <c r="D67" s="34"/>
      <c r="E67" s="34"/>
      <c r="F67" s="34"/>
      <c r="G67" s="30"/>
      <c r="I67" s="36"/>
      <c r="J67" s="36"/>
      <c r="K67" s="42"/>
    </row>
    <row r="68" ht="15.75" customHeight="1">
      <c r="A68" s="30"/>
      <c r="B68" s="60"/>
      <c r="C68" s="26"/>
      <c r="D68" s="34"/>
      <c r="E68" s="34"/>
      <c r="F68" s="34"/>
      <c r="G68" s="30"/>
      <c r="I68" s="36"/>
      <c r="J68" s="36"/>
      <c r="K68" s="42"/>
    </row>
    <row r="69" ht="15.75" customHeight="1">
      <c r="A69" s="30"/>
      <c r="B69" s="60"/>
      <c r="C69" s="26"/>
      <c r="D69" s="34"/>
      <c r="E69" s="34"/>
      <c r="F69" s="34"/>
      <c r="G69" s="30"/>
      <c r="I69" s="36"/>
      <c r="J69" s="36"/>
      <c r="K69" s="42"/>
    </row>
    <row r="70" ht="15.75" customHeight="1">
      <c r="A70" s="30"/>
      <c r="B70" s="60"/>
      <c r="C70" s="26"/>
      <c r="D70" s="34"/>
      <c r="E70" s="34"/>
      <c r="F70" s="34"/>
      <c r="G70" s="30"/>
      <c r="I70" s="36"/>
      <c r="J70" s="36"/>
      <c r="K70" s="42"/>
    </row>
    <row r="71" ht="15.75" customHeight="1">
      <c r="A71" s="30"/>
      <c r="B71" s="60"/>
      <c r="C71" s="26"/>
      <c r="D71" s="34"/>
      <c r="E71" s="34"/>
      <c r="F71" s="34"/>
      <c r="G71" s="30"/>
      <c r="I71" s="36"/>
      <c r="J71" s="36"/>
      <c r="K71" s="42"/>
    </row>
    <row r="72" ht="15.75" customHeight="1">
      <c r="A72" s="30"/>
      <c r="B72" s="60"/>
      <c r="C72" s="26"/>
      <c r="D72" s="34"/>
      <c r="E72" s="34"/>
      <c r="F72" s="34"/>
      <c r="G72" s="30"/>
      <c r="I72" s="36"/>
      <c r="J72" s="36"/>
      <c r="K72" s="42"/>
    </row>
    <row r="73" ht="15.75" customHeight="1">
      <c r="A73" s="30"/>
      <c r="B73" s="60"/>
      <c r="C73" s="26"/>
      <c r="D73" s="34"/>
      <c r="E73" s="34"/>
      <c r="F73" s="34"/>
      <c r="G73" s="30"/>
      <c r="I73" s="36"/>
      <c r="J73" s="36"/>
      <c r="K73" s="42"/>
    </row>
    <row r="74" ht="15.75" customHeight="1">
      <c r="A74" s="30"/>
      <c r="B74" s="60"/>
      <c r="C74" s="26"/>
      <c r="D74" s="34"/>
      <c r="E74" s="34"/>
      <c r="F74" s="34"/>
      <c r="G74" s="30"/>
      <c r="I74" s="36"/>
      <c r="J74" s="36"/>
      <c r="K74" s="42"/>
    </row>
    <row r="75" ht="15.75" customHeight="1">
      <c r="A75" s="30"/>
      <c r="B75" s="60"/>
      <c r="C75" s="26"/>
      <c r="D75" s="34"/>
      <c r="E75" s="34"/>
      <c r="F75" s="34"/>
      <c r="G75" s="30"/>
      <c r="I75" s="36"/>
      <c r="J75" s="36"/>
      <c r="K75" s="42"/>
    </row>
    <row r="76" ht="15.75" customHeight="1">
      <c r="A76" s="30"/>
      <c r="B76" s="60"/>
      <c r="C76" s="26"/>
      <c r="D76" s="34"/>
      <c r="E76" s="34"/>
      <c r="F76" s="34"/>
      <c r="G76" s="30"/>
      <c r="I76" s="36"/>
      <c r="J76" s="36"/>
      <c r="K76" s="42"/>
    </row>
    <row r="77" ht="15.75" customHeight="1">
      <c r="A77" s="30"/>
      <c r="B77" s="60"/>
      <c r="C77" s="26"/>
      <c r="D77" s="34"/>
      <c r="E77" s="34"/>
      <c r="F77" s="34"/>
      <c r="G77" s="30"/>
      <c r="I77" s="36"/>
      <c r="J77" s="36"/>
      <c r="K77" s="42"/>
    </row>
    <row r="78" ht="15.75" customHeight="1">
      <c r="A78" s="30"/>
      <c r="B78" s="60"/>
      <c r="C78" s="26"/>
      <c r="D78" s="34"/>
      <c r="E78" s="34"/>
      <c r="F78" s="34"/>
      <c r="G78" s="30"/>
      <c r="I78" s="36"/>
      <c r="J78" s="36"/>
      <c r="K78" s="42"/>
    </row>
    <row r="79" ht="15.75" customHeight="1">
      <c r="A79" s="30"/>
      <c r="B79" s="60"/>
      <c r="C79" s="26"/>
      <c r="D79" s="34"/>
      <c r="E79" s="34"/>
      <c r="F79" s="34"/>
      <c r="G79" s="30"/>
      <c r="I79" s="36"/>
      <c r="J79" s="36"/>
      <c r="K79" s="42"/>
    </row>
    <row r="80" ht="15.75" customHeight="1">
      <c r="A80" s="30"/>
      <c r="B80" s="60"/>
      <c r="C80" s="26"/>
      <c r="D80" s="34"/>
      <c r="E80" s="34"/>
      <c r="F80" s="34"/>
      <c r="G80" s="30"/>
      <c r="I80" s="36"/>
      <c r="J80" s="36"/>
      <c r="K80" s="42"/>
    </row>
    <row r="81" ht="15.75" customHeight="1">
      <c r="A81" s="30"/>
      <c r="B81" s="60"/>
      <c r="C81" s="26"/>
      <c r="D81" s="34"/>
      <c r="E81" s="34"/>
      <c r="F81" s="34"/>
      <c r="G81" s="30"/>
      <c r="I81" s="36"/>
      <c r="J81" s="36"/>
      <c r="K81" s="42"/>
    </row>
    <row r="82" ht="15.75" customHeight="1">
      <c r="A82" s="30"/>
      <c r="B82" s="60"/>
      <c r="C82" s="26"/>
      <c r="D82" s="34"/>
      <c r="E82" s="34"/>
      <c r="F82" s="34"/>
      <c r="G82" s="30"/>
      <c r="I82" s="36"/>
      <c r="J82" s="36"/>
      <c r="K82" s="42"/>
    </row>
    <row r="83" ht="15.75" customHeight="1">
      <c r="A83" s="30"/>
      <c r="B83" s="60"/>
      <c r="C83" s="26"/>
      <c r="D83" s="34"/>
      <c r="E83" s="34"/>
      <c r="F83" s="34"/>
      <c r="G83" s="30"/>
      <c r="I83" s="36"/>
      <c r="J83" s="36"/>
      <c r="K83" s="42"/>
    </row>
    <row r="84" ht="15.75" customHeight="1">
      <c r="A84" s="30"/>
      <c r="B84" s="60"/>
      <c r="C84" s="26"/>
      <c r="D84" s="34"/>
      <c r="E84" s="34"/>
      <c r="F84" s="34"/>
      <c r="G84" s="30"/>
      <c r="I84" s="36"/>
      <c r="J84" s="36"/>
      <c r="K84" s="42"/>
    </row>
    <row r="85" ht="15.75" customHeight="1">
      <c r="A85" s="30"/>
      <c r="B85" s="60"/>
      <c r="C85" s="26"/>
      <c r="D85" s="34"/>
      <c r="E85" s="34"/>
      <c r="F85" s="34"/>
      <c r="G85" s="30"/>
      <c r="I85" s="36"/>
      <c r="J85" s="36"/>
      <c r="K85" s="42"/>
    </row>
    <row r="86" ht="15.75" customHeight="1">
      <c r="A86" s="30"/>
      <c r="B86" s="60"/>
      <c r="C86" s="26"/>
      <c r="D86" s="34"/>
      <c r="E86" s="34"/>
      <c r="F86" s="34"/>
      <c r="G86" s="30"/>
      <c r="I86" s="36"/>
      <c r="J86" s="36"/>
      <c r="K86" s="42"/>
    </row>
    <row r="87" ht="15.75" customHeight="1">
      <c r="A87" s="30"/>
      <c r="B87" s="60"/>
      <c r="C87" s="26"/>
      <c r="D87" s="34"/>
      <c r="E87" s="34"/>
      <c r="F87" s="34"/>
      <c r="G87" s="30"/>
      <c r="I87" s="36"/>
      <c r="J87" s="36"/>
      <c r="K87" s="42"/>
    </row>
    <row r="88" ht="15.75" customHeight="1">
      <c r="A88" s="30"/>
      <c r="B88" s="60"/>
      <c r="C88" s="26"/>
      <c r="D88" s="34"/>
      <c r="E88" s="34"/>
      <c r="F88" s="34"/>
      <c r="G88" s="30"/>
      <c r="I88" s="36"/>
      <c r="J88" s="36"/>
      <c r="K88" s="42"/>
    </row>
    <row r="89" ht="15.75" customHeight="1">
      <c r="A89" s="30"/>
      <c r="B89" s="60"/>
      <c r="C89" s="26"/>
      <c r="D89" s="34"/>
      <c r="E89" s="34"/>
      <c r="F89" s="34"/>
      <c r="G89" s="30"/>
      <c r="I89" s="36"/>
      <c r="J89" s="36"/>
      <c r="K89" s="42"/>
    </row>
    <row r="90" ht="15.75" customHeight="1">
      <c r="A90" s="30"/>
      <c r="B90" s="60"/>
      <c r="C90" s="26"/>
      <c r="D90" s="34"/>
      <c r="E90" s="34"/>
      <c r="F90" s="34"/>
      <c r="G90" s="30"/>
      <c r="I90" s="36"/>
      <c r="J90" s="36"/>
      <c r="K90" s="42"/>
    </row>
    <row r="91" ht="15.75" customHeight="1">
      <c r="A91" s="30"/>
      <c r="B91" s="60"/>
      <c r="C91" s="26"/>
      <c r="D91" s="34"/>
      <c r="E91" s="34"/>
      <c r="F91" s="34"/>
      <c r="G91" s="30"/>
      <c r="I91" s="36"/>
      <c r="J91" s="36"/>
      <c r="K91" s="42"/>
    </row>
    <row r="92" ht="15.75" customHeight="1">
      <c r="A92" s="30"/>
      <c r="B92" s="60"/>
      <c r="C92" s="26"/>
      <c r="D92" s="34"/>
      <c r="E92" s="34"/>
      <c r="F92" s="34"/>
      <c r="G92" s="30"/>
      <c r="I92" s="36"/>
      <c r="J92" s="36"/>
      <c r="K92" s="42"/>
    </row>
    <row r="93" ht="15.75" customHeight="1">
      <c r="A93" s="30"/>
      <c r="B93" s="60"/>
      <c r="C93" s="26"/>
      <c r="D93" s="34"/>
      <c r="E93" s="34"/>
      <c r="F93" s="34"/>
      <c r="G93" s="30"/>
      <c r="I93" s="36"/>
      <c r="J93" s="36"/>
      <c r="K93" s="42"/>
    </row>
    <row r="94" ht="15.75" customHeight="1">
      <c r="A94" s="30"/>
      <c r="B94" s="60"/>
      <c r="C94" s="26"/>
      <c r="D94" s="34"/>
      <c r="E94" s="34"/>
      <c r="F94" s="34"/>
      <c r="G94" s="30"/>
      <c r="I94" s="36"/>
      <c r="J94" s="36"/>
      <c r="K94" s="42"/>
    </row>
    <row r="95" ht="15.75" customHeight="1">
      <c r="A95" s="30"/>
      <c r="B95" s="60"/>
      <c r="C95" s="26"/>
      <c r="D95" s="34"/>
      <c r="E95" s="34"/>
      <c r="F95" s="34"/>
      <c r="G95" s="30"/>
      <c r="I95" s="36"/>
      <c r="J95" s="36"/>
      <c r="K95" s="42"/>
    </row>
    <row r="96" ht="15.75" customHeight="1">
      <c r="A96" s="30"/>
      <c r="B96" s="60"/>
      <c r="C96" s="26"/>
      <c r="D96" s="34"/>
      <c r="E96" s="34"/>
      <c r="F96" s="34"/>
      <c r="G96" s="30"/>
      <c r="I96" s="36"/>
      <c r="J96" s="36"/>
      <c r="K96" s="42"/>
    </row>
    <row r="97" ht="15.75" customHeight="1">
      <c r="A97" s="30"/>
      <c r="B97" s="60"/>
      <c r="C97" s="26"/>
      <c r="D97" s="34"/>
      <c r="E97" s="34"/>
      <c r="F97" s="34"/>
      <c r="G97" s="30"/>
      <c r="I97" s="36"/>
      <c r="J97" s="36"/>
      <c r="K97" s="42"/>
    </row>
    <row r="98" ht="15.75" customHeight="1">
      <c r="A98" s="30"/>
      <c r="B98" s="60"/>
      <c r="C98" s="26"/>
      <c r="D98" s="34"/>
      <c r="E98" s="34"/>
      <c r="F98" s="34"/>
      <c r="G98" s="30"/>
      <c r="I98" s="36"/>
      <c r="J98" s="36"/>
      <c r="K98" s="42"/>
    </row>
    <row r="99" ht="15.75" customHeight="1">
      <c r="A99" s="30"/>
      <c r="B99" s="60"/>
      <c r="C99" s="26"/>
      <c r="D99" s="34"/>
      <c r="E99" s="34"/>
      <c r="F99" s="34"/>
      <c r="G99" s="30"/>
      <c r="I99" s="36"/>
      <c r="J99" s="36"/>
      <c r="K99" s="42"/>
    </row>
    <row r="100" ht="15.75" customHeight="1">
      <c r="A100" s="30"/>
      <c r="B100" s="60"/>
      <c r="C100" s="26"/>
      <c r="D100" s="34"/>
      <c r="E100" s="34"/>
      <c r="F100" s="34"/>
      <c r="G100" s="30"/>
      <c r="I100" s="36"/>
      <c r="J100" s="36"/>
      <c r="K100" s="42"/>
    </row>
    <row r="101" ht="15.75" customHeight="1">
      <c r="A101" s="30"/>
      <c r="B101" s="60"/>
      <c r="C101" s="26"/>
      <c r="D101" s="34"/>
      <c r="E101" s="34"/>
      <c r="F101" s="34"/>
      <c r="G101" s="30"/>
      <c r="I101" s="36"/>
      <c r="J101" s="36"/>
      <c r="K101" s="42"/>
    </row>
    <row r="102" ht="15.75" customHeight="1">
      <c r="A102" s="30"/>
      <c r="B102" s="60"/>
      <c r="C102" s="26"/>
      <c r="D102" s="34"/>
      <c r="E102" s="34"/>
      <c r="F102" s="34"/>
      <c r="G102" s="30"/>
      <c r="I102" s="36"/>
      <c r="J102" s="36"/>
      <c r="K102" s="42"/>
    </row>
    <row r="103" ht="15.75" customHeight="1">
      <c r="A103" s="30"/>
      <c r="B103" s="60"/>
      <c r="C103" s="26"/>
      <c r="D103" s="34"/>
      <c r="E103" s="34"/>
      <c r="F103" s="34"/>
      <c r="G103" s="30"/>
      <c r="I103" s="36"/>
      <c r="J103" s="36"/>
      <c r="K103" s="42"/>
    </row>
    <row r="104" ht="15.75" customHeight="1">
      <c r="A104" s="30"/>
      <c r="B104" s="60"/>
      <c r="C104" s="26"/>
      <c r="D104" s="34"/>
      <c r="E104" s="34"/>
      <c r="F104" s="34"/>
      <c r="G104" s="30"/>
      <c r="I104" s="36"/>
      <c r="J104" s="36"/>
      <c r="K104" s="42"/>
    </row>
    <row r="105" ht="15.75" customHeight="1">
      <c r="A105" s="30"/>
      <c r="B105" s="60"/>
      <c r="C105" s="26"/>
      <c r="D105" s="34"/>
      <c r="E105" s="34"/>
      <c r="F105" s="34"/>
      <c r="G105" s="30"/>
      <c r="I105" s="36"/>
      <c r="J105" s="36"/>
      <c r="K105" s="42"/>
    </row>
    <row r="106" ht="15.75" customHeight="1">
      <c r="A106" s="30"/>
      <c r="B106" s="60"/>
      <c r="C106" s="26"/>
      <c r="D106" s="34"/>
      <c r="E106" s="34"/>
      <c r="F106" s="34"/>
      <c r="G106" s="30"/>
      <c r="I106" s="36"/>
      <c r="J106" s="36"/>
      <c r="K106" s="42"/>
    </row>
    <row r="107" ht="15.75" customHeight="1">
      <c r="A107" s="30"/>
      <c r="B107" s="60"/>
      <c r="C107" s="26"/>
      <c r="D107" s="34"/>
      <c r="E107" s="34"/>
      <c r="F107" s="34"/>
      <c r="G107" s="30"/>
      <c r="I107" s="36"/>
      <c r="J107" s="36"/>
      <c r="K107" s="42"/>
    </row>
    <row r="108" ht="15.75" customHeight="1">
      <c r="A108" s="30"/>
      <c r="B108" s="60"/>
      <c r="C108" s="26"/>
      <c r="D108" s="34"/>
      <c r="E108" s="34"/>
      <c r="F108" s="34"/>
      <c r="G108" s="30"/>
      <c r="I108" s="36"/>
      <c r="J108" s="36"/>
      <c r="K108" s="42"/>
    </row>
    <row r="109" ht="15.75" customHeight="1">
      <c r="A109" s="30"/>
      <c r="B109" s="60"/>
      <c r="C109" s="26"/>
      <c r="D109" s="34"/>
      <c r="E109" s="34"/>
      <c r="F109" s="34"/>
      <c r="G109" s="30"/>
      <c r="I109" s="36"/>
      <c r="J109" s="36"/>
      <c r="K109" s="42"/>
    </row>
    <row r="110" ht="15.75" customHeight="1">
      <c r="A110" s="30"/>
      <c r="B110" s="60"/>
      <c r="C110" s="26"/>
      <c r="D110" s="34"/>
      <c r="E110" s="34"/>
      <c r="F110" s="34"/>
      <c r="G110" s="30"/>
      <c r="I110" s="36"/>
      <c r="J110" s="36"/>
      <c r="K110" s="42"/>
    </row>
    <row r="111" ht="15.75" customHeight="1">
      <c r="A111" s="30"/>
      <c r="B111" s="60"/>
      <c r="C111" s="26"/>
      <c r="D111" s="34"/>
      <c r="E111" s="34"/>
      <c r="F111" s="34"/>
      <c r="G111" s="30"/>
      <c r="I111" s="36"/>
      <c r="J111" s="36"/>
      <c r="K111" s="42"/>
    </row>
    <row r="112" ht="15.75" customHeight="1">
      <c r="A112" s="30"/>
      <c r="B112" s="60"/>
      <c r="C112" s="26"/>
      <c r="D112" s="34"/>
      <c r="E112" s="34"/>
      <c r="F112" s="34"/>
      <c r="G112" s="30"/>
      <c r="I112" s="36"/>
      <c r="J112" s="36"/>
      <c r="K112" s="42"/>
    </row>
    <row r="113" ht="15.75" customHeight="1">
      <c r="A113" s="30"/>
      <c r="B113" s="60"/>
      <c r="C113" s="26"/>
      <c r="D113" s="34"/>
      <c r="E113" s="34"/>
      <c r="F113" s="34"/>
      <c r="G113" s="30"/>
      <c r="I113" s="36"/>
      <c r="J113" s="36"/>
      <c r="K113" s="42"/>
    </row>
    <row r="114" ht="15.75" customHeight="1">
      <c r="A114" s="30"/>
      <c r="B114" s="60"/>
      <c r="C114" s="26"/>
      <c r="D114" s="34"/>
      <c r="E114" s="34"/>
      <c r="F114" s="34"/>
      <c r="G114" s="30"/>
      <c r="I114" s="36"/>
      <c r="J114" s="36"/>
      <c r="K114" s="42"/>
    </row>
    <row r="115" ht="15.75" customHeight="1">
      <c r="A115" s="30"/>
      <c r="B115" s="60"/>
      <c r="C115" s="26"/>
      <c r="D115" s="34"/>
      <c r="E115" s="34"/>
      <c r="F115" s="34"/>
      <c r="G115" s="30"/>
      <c r="I115" s="36"/>
      <c r="J115" s="36"/>
      <c r="K115" s="42"/>
    </row>
    <row r="116" ht="15.75" customHeight="1">
      <c r="A116" s="30"/>
      <c r="B116" s="60"/>
      <c r="C116" s="26"/>
      <c r="D116" s="34"/>
      <c r="E116" s="34"/>
      <c r="F116" s="34"/>
      <c r="G116" s="30"/>
      <c r="I116" s="36"/>
      <c r="J116" s="36"/>
      <c r="K116" s="42"/>
    </row>
    <row r="117" ht="15.75" customHeight="1">
      <c r="A117" s="30"/>
      <c r="B117" s="60"/>
      <c r="C117" s="26"/>
      <c r="D117" s="34"/>
      <c r="E117" s="34"/>
      <c r="F117" s="34"/>
      <c r="G117" s="30"/>
      <c r="I117" s="36"/>
      <c r="J117" s="36"/>
      <c r="K117" s="42"/>
    </row>
    <row r="118" ht="15.75" customHeight="1">
      <c r="A118" s="30"/>
      <c r="B118" s="60"/>
      <c r="C118" s="26"/>
      <c r="D118" s="34"/>
      <c r="E118" s="34"/>
      <c r="F118" s="34"/>
      <c r="G118" s="30"/>
      <c r="I118" s="36"/>
      <c r="J118" s="36"/>
      <c r="K118" s="42"/>
    </row>
    <row r="119" ht="15.75" customHeight="1">
      <c r="A119" s="30"/>
      <c r="B119" s="60"/>
      <c r="C119" s="26"/>
      <c r="D119" s="34"/>
      <c r="E119" s="34"/>
      <c r="F119" s="34"/>
      <c r="G119" s="30"/>
      <c r="I119" s="36"/>
      <c r="J119" s="36"/>
      <c r="K119" s="42"/>
    </row>
    <row r="120" ht="15.75" customHeight="1">
      <c r="A120" s="30"/>
      <c r="B120" s="60"/>
      <c r="C120" s="26"/>
      <c r="D120" s="34"/>
      <c r="E120" s="34"/>
      <c r="F120" s="34"/>
      <c r="G120" s="30"/>
      <c r="I120" s="36"/>
      <c r="J120" s="36"/>
      <c r="K120" s="42"/>
    </row>
    <row r="121" ht="15.75" customHeight="1">
      <c r="A121" s="30"/>
      <c r="B121" s="60"/>
      <c r="C121" s="26"/>
      <c r="D121" s="34"/>
      <c r="E121" s="34"/>
      <c r="F121" s="34"/>
      <c r="G121" s="30"/>
      <c r="I121" s="36"/>
      <c r="J121" s="36"/>
      <c r="K121" s="42"/>
    </row>
    <row r="122" ht="15.75" customHeight="1">
      <c r="A122" s="30"/>
      <c r="B122" s="60"/>
      <c r="C122" s="26"/>
      <c r="D122" s="34"/>
      <c r="E122" s="34"/>
      <c r="F122" s="34"/>
      <c r="G122" s="30"/>
      <c r="I122" s="36"/>
      <c r="J122" s="36"/>
      <c r="K122" s="42"/>
    </row>
    <row r="123" ht="15.75" customHeight="1">
      <c r="A123" s="30"/>
      <c r="B123" s="60"/>
      <c r="C123" s="26"/>
      <c r="D123" s="34"/>
      <c r="E123" s="34"/>
      <c r="F123" s="34"/>
      <c r="G123" s="30"/>
      <c r="I123" s="36"/>
      <c r="J123" s="36"/>
      <c r="K123" s="42"/>
    </row>
    <row r="124" ht="15.75" customHeight="1">
      <c r="A124" s="30"/>
      <c r="B124" s="60"/>
      <c r="C124" s="26"/>
      <c r="D124" s="34"/>
      <c r="E124" s="34"/>
      <c r="F124" s="34"/>
      <c r="G124" s="30"/>
      <c r="I124" s="36"/>
      <c r="J124" s="36"/>
      <c r="K124" s="42"/>
    </row>
    <row r="125" ht="15.75" customHeight="1">
      <c r="A125" s="30"/>
      <c r="B125" s="60"/>
      <c r="C125" s="26"/>
      <c r="D125" s="34"/>
      <c r="E125" s="34"/>
      <c r="F125" s="34"/>
      <c r="G125" s="30"/>
      <c r="I125" s="36"/>
      <c r="J125" s="36"/>
      <c r="K125" s="42"/>
    </row>
    <row r="126" ht="15.75" customHeight="1">
      <c r="A126" s="30"/>
      <c r="B126" s="60"/>
      <c r="C126" s="26"/>
      <c r="D126" s="34"/>
      <c r="E126" s="34"/>
      <c r="F126" s="34"/>
      <c r="G126" s="30"/>
      <c r="I126" s="36"/>
      <c r="J126" s="36"/>
      <c r="K126" s="42"/>
    </row>
    <row r="127" ht="15.75" customHeight="1">
      <c r="A127" s="30"/>
      <c r="B127" s="60"/>
      <c r="C127" s="26"/>
      <c r="D127" s="34"/>
      <c r="E127" s="34"/>
      <c r="F127" s="34"/>
      <c r="G127" s="30"/>
      <c r="I127" s="36"/>
      <c r="J127" s="36"/>
      <c r="K127" s="42"/>
    </row>
    <row r="128" ht="15.75" customHeight="1">
      <c r="A128" s="30"/>
      <c r="B128" s="60"/>
      <c r="C128" s="26"/>
      <c r="D128" s="34"/>
      <c r="E128" s="34"/>
      <c r="F128" s="34"/>
      <c r="G128" s="30"/>
      <c r="I128" s="36"/>
      <c r="J128" s="36"/>
      <c r="K128" s="42"/>
    </row>
    <row r="129" ht="15.75" customHeight="1">
      <c r="A129" s="30"/>
      <c r="B129" s="60"/>
      <c r="C129" s="26"/>
      <c r="D129" s="34"/>
      <c r="E129" s="34"/>
      <c r="F129" s="34"/>
      <c r="G129" s="30"/>
      <c r="I129" s="36"/>
      <c r="J129" s="36"/>
      <c r="K129" s="42"/>
    </row>
    <row r="130" ht="15.75" customHeight="1">
      <c r="A130" s="30"/>
      <c r="B130" s="60"/>
      <c r="C130" s="26"/>
      <c r="D130" s="34"/>
      <c r="E130" s="34"/>
      <c r="F130" s="34"/>
      <c r="G130" s="30"/>
      <c r="I130" s="36"/>
      <c r="J130" s="36"/>
      <c r="K130" s="42"/>
    </row>
    <row r="131" ht="15.75" customHeight="1">
      <c r="A131" s="30"/>
      <c r="B131" s="60"/>
      <c r="C131" s="26"/>
      <c r="D131" s="34"/>
      <c r="E131" s="34"/>
      <c r="F131" s="34"/>
      <c r="G131" s="30"/>
      <c r="I131" s="36"/>
      <c r="J131" s="36"/>
      <c r="K131" s="42"/>
    </row>
    <row r="132" ht="15.75" customHeight="1">
      <c r="A132" s="30"/>
      <c r="B132" s="60"/>
      <c r="C132" s="26"/>
      <c r="D132" s="34"/>
      <c r="E132" s="34"/>
      <c r="F132" s="34"/>
      <c r="G132" s="30"/>
      <c r="I132" s="36"/>
      <c r="J132" s="36"/>
      <c r="K132" s="42"/>
    </row>
    <row r="133" ht="15.75" customHeight="1">
      <c r="A133" s="30"/>
      <c r="B133" s="60"/>
      <c r="C133" s="26"/>
      <c r="D133" s="34"/>
      <c r="E133" s="34"/>
      <c r="F133" s="34"/>
      <c r="G133" s="30"/>
      <c r="I133" s="36"/>
      <c r="J133" s="36"/>
      <c r="K133" s="42"/>
    </row>
    <row r="134" ht="15.75" customHeight="1">
      <c r="A134" s="30"/>
      <c r="B134" s="60"/>
      <c r="C134" s="26"/>
      <c r="D134" s="34"/>
      <c r="E134" s="34"/>
      <c r="F134" s="34"/>
      <c r="G134" s="30"/>
      <c r="I134" s="36"/>
      <c r="J134" s="36"/>
      <c r="K134" s="42"/>
    </row>
    <row r="135" ht="15.75" customHeight="1">
      <c r="A135" s="30"/>
      <c r="B135" s="60"/>
      <c r="C135" s="26"/>
      <c r="D135" s="34"/>
      <c r="E135" s="34"/>
      <c r="F135" s="34"/>
      <c r="G135" s="30"/>
      <c r="I135" s="36"/>
      <c r="J135" s="36"/>
      <c r="K135" s="42"/>
    </row>
    <row r="136" ht="15.75" customHeight="1">
      <c r="A136" s="30"/>
      <c r="B136" s="60"/>
      <c r="C136" s="26"/>
      <c r="D136" s="34"/>
      <c r="E136" s="34"/>
      <c r="F136" s="34"/>
      <c r="G136" s="30"/>
      <c r="I136" s="36"/>
      <c r="J136" s="36"/>
      <c r="K136" s="42"/>
    </row>
    <row r="137" ht="15.75" customHeight="1">
      <c r="A137" s="30"/>
      <c r="B137" s="60"/>
      <c r="C137" s="26"/>
      <c r="D137" s="34"/>
      <c r="E137" s="34"/>
      <c r="F137" s="34"/>
      <c r="G137" s="30"/>
      <c r="I137" s="36"/>
      <c r="J137" s="36"/>
      <c r="K137" s="42"/>
    </row>
    <row r="138" ht="15.75" customHeight="1">
      <c r="A138" s="30"/>
      <c r="B138" s="60"/>
      <c r="C138" s="26"/>
      <c r="D138" s="34"/>
      <c r="E138" s="34"/>
      <c r="F138" s="34"/>
      <c r="G138" s="30"/>
      <c r="I138" s="36"/>
      <c r="J138" s="36"/>
      <c r="K138" s="42"/>
    </row>
    <row r="139" ht="15.75" customHeight="1">
      <c r="A139" s="30"/>
      <c r="B139" s="60"/>
      <c r="C139" s="26"/>
      <c r="D139" s="34"/>
      <c r="E139" s="34"/>
      <c r="F139" s="34"/>
      <c r="G139" s="30"/>
      <c r="I139" s="36"/>
      <c r="J139" s="36"/>
      <c r="K139" s="42"/>
    </row>
    <row r="140" ht="15.75" customHeight="1">
      <c r="A140" s="30"/>
      <c r="B140" s="60"/>
      <c r="C140" s="26"/>
      <c r="D140" s="34"/>
      <c r="E140" s="34"/>
      <c r="F140" s="34"/>
      <c r="G140" s="30"/>
      <c r="I140" s="36"/>
      <c r="J140" s="36"/>
      <c r="K140" s="42"/>
    </row>
    <row r="141" ht="15.75" customHeight="1">
      <c r="A141" s="30"/>
      <c r="B141" s="60"/>
      <c r="C141" s="26"/>
      <c r="D141" s="34"/>
      <c r="E141" s="34"/>
      <c r="F141" s="34"/>
      <c r="G141" s="30"/>
      <c r="I141" s="36"/>
      <c r="J141" s="36"/>
      <c r="K141" s="42"/>
    </row>
    <row r="142" ht="15.75" customHeight="1">
      <c r="A142" s="30"/>
      <c r="B142" s="60"/>
      <c r="C142" s="26"/>
      <c r="D142" s="34"/>
      <c r="E142" s="34"/>
      <c r="F142" s="34"/>
      <c r="G142" s="30"/>
      <c r="I142" s="36"/>
      <c r="J142" s="36"/>
      <c r="K142" s="42"/>
    </row>
    <row r="143" ht="15.75" customHeight="1">
      <c r="A143" s="30"/>
      <c r="B143" s="60"/>
      <c r="C143" s="26"/>
      <c r="D143" s="34"/>
      <c r="E143" s="34"/>
      <c r="F143" s="34"/>
      <c r="G143" s="30"/>
      <c r="I143" s="36"/>
      <c r="J143" s="36"/>
      <c r="K143" s="42"/>
    </row>
    <row r="144" ht="15.75" customHeight="1">
      <c r="A144" s="30"/>
      <c r="B144" s="60"/>
      <c r="C144" s="26"/>
      <c r="D144" s="34"/>
      <c r="E144" s="34"/>
      <c r="F144" s="34"/>
      <c r="G144" s="30"/>
      <c r="I144" s="36"/>
      <c r="J144" s="36"/>
      <c r="K144" s="42"/>
    </row>
    <row r="145" ht="15.75" customHeight="1">
      <c r="A145" s="30"/>
      <c r="B145" s="60"/>
      <c r="C145" s="26"/>
      <c r="D145" s="34"/>
      <c r="E145" s="34"/>
      <c r="F145" s="34"/>
      <c r="G145" s="30"/>
      <c r="I145" s="36"/>
      <c r="J145" s="36"/>
      <c r="K145" s="42"/>
    </row>
    <row r="146" ht="15.75" customHeight="1">
      <c r="A146" s="30"/>
      <c r="B146" s="60"/>
      <c r="C146" s="26"/>
      <c r="D146" s="34"/>
      <c r="E146" s="34"/>
      <c r="F146" s="34"/>
      <c r="G146" s="30"/>
      <c r="I146" s="36"/>
      <c r="J146" s="36"/>
      <c r="K146" s="42"/>
    </row>
    <row r="147" ht="15.75" customHeight="1">
      <c r="A147" s="30"/>
      <c r="B147" s="60"/>
      <c r="C147" s="26"/>
      <c r="D147" s="34"/>
      <c r="E147" s="34"/>
      <c r="F147" s="34"/>
      <c r="G147" s="30"/>
      <c r="I147" s="36"/>
      <c r="J147" s="36"/>
      <c r="K147" s="42"/>
    </row>
    <row r="148" ht="15.75" customHeight="1">
      <c r="A148" s="30"/>
      <c r="B148" s="60"/>
      <c r="C148" s="26"/>
      <c r="D148" s="34"/>
      <c r="E148" s="34"/>
      <c r="F148" s="34"/>
      <c r="G148" s="30"/>
      <c r="I148" s="36"/>
      <c r="J148" s="36"/>
      <c r="K148" s="42"/>
    </row>
    <row r="149" ht="15.75" customHeight="1">
      <c r="A149" s="30"/>
      <c r="B149" s="60"/>
      <c r="C149" s="26"/>
      <c r="D149" s="34"/>
      <c r="E149" s="34"/>
      <c r="F149" s="34"/>
      <c r="G149" s="30"/>
      <c r="I149" s="36"/>
      <c r="J149" s="36"/>
      <c r="K149" s="42"/>
    </row>
    <row r="150" ht="15.75" customHeight="1">
      <c r="A150" s="30"/>
      <c r="B150" s="60"/>
      <c r="C150" s="26"/>
      <c r="D150" s="34"/>
      <c r="E150" s="34"/>
      <c r="F150" s="34"/>
      <c r="G150" s="30"/>
      <c r="I150" s="36"/>
      <c r="J150" s="36"/>
      <c r="K150" s="42"/>
    </row>
    <row r="151" ht="15.75" customHeight="1">
      <c r="A151" s="30"/>
      <c r="B151" s="60"/>
      <c r="C151" s="26"/>
      <c r="D151" s="34"/>
      <c r="E151" s="34"/>
      <c r="F151" s="34"/>
      <c r="G151" s="30"/>
      <c r="I151" s="36"/>
      <c r="J151" s="36"/>
      <c r="K151" s="42"/>
    </row>
    <row r="152" ht="15.75" customHeight="1">
      <c r="A152" s="30"/>
      <c r="B152" s="60"/>
      <c r="C152" s="26"/>
      <c r="D152" s="34"/>
      <c r="E152" s="34"/>
      <c r="F152" s="34"/>
      <c r="G152" s="30"/>
      <c r="I152" s="36"/>
      <c r="J152" s="36"/>
      <c r="K152" s="42"/>
    </row>
    <row r="153" ht="15.75" customHeight="1">
      <c r="A153" s="30"/>
      <c r="B153" s="60"/>
      <c r="C153" s="26"/>
      <c r="D153" s="34"/>
      <c r="E153" s="34"/>
      <c r="F153" s="34"/>
      <c r="G153" s="30"/>
      <c r="I153" s="36"/>
      <c r="J153" s="36"/>
      <c r="K153" s="42"/>
    </row>
    <row r="154" ht="15.75" customHeight="1">
      <c r="A154" s="30"/>
      <c r="B154" s="60"/>
      <c r="C154" s="26"/>
      <c r="D154" s="34"/>
      <c r="E154" s="34"/>
      <c r="F154" s="34"/>
      <c r="G154" s="30"/>
      <c r="I154" s="36"/>
      <c r="J154" s="36"/>
      <c r="K154" s="42"/>
    </row>
    <row r="155" ht="15.75" customHeight="1">
      <c r="A155" s="30"/>
      <c r="B155" s="60"/>
      <c r="C155" s="26"/>
      <c r="D155" s="34"/>
      <c r="E155" s="34"/>
      <c r="F155" s="34"/>
      <c r="G155" s="30"/>
      <c r="I155" s="36"/>
      <c r="J155" s="36"/>
      <c r="K155" s="42"/>
    </row>
    <row r="156" ht="15.75" customHeight="1">
      <c r="A156" s="30"/>
      <c r="B156" s="60"/>
      <c r="C156" s="26"/>
      <c r="D156" s="34"/>
      <c r="E156" s="34"/>
      <c r="F156" s="34"/>
      <c r="G156" s="30"/>
      <c r="I156" s="36"/>
      <c r="J156" s="36"/>
      <c r="K156" s="42"/>
    </row>
    <row r="157" ht="15.75" customHeight="1">
      <c r="A157" s="30"/>
      <c r="B157" s="60"/>
      <c r="C157" s="26"/>
      <c r="D157" s="34"/>
      <c r="E157" s="34"/>
      <c r="F157" s="34"/>
      <c r="G157" s="30"/>
      <c r="I157" s="36"/>
      <c r="J157" s="36"/>
      <c r="K157" s="42"/>
    </row>
    <row r="158" ht="15.75" customHeight="1">
      <c r="A158" s="30"/>
      <c r="B158" s="60"/>
      <c r="C158" s="26"/>
      <c r="D158" s="34"/>
      <c r="E158" s="34"/>
      <c r="F158" s="34"/>
      <c r="G158" s="30"/>
      <c r="I158" s="36"/>
      <c r="J158" s="36"/>
      <c r="K158" s="42"/>
    </row>
    <row r="159" ht="15.75" customHeight="1">
      <c r="A159" s="30"/>
      <c r="B159" s="60"/>
      <c r="C159" s="26"/>
      <c r="D159" s="34"/>
      <c r="E159" s="34"/>
      <c r="F159" s="34"/>
      <c r="G159" s="30"/>
      <c r="I159" s="36"/>
      <c r="J159" s="36"/>
      <c r="K159" s="42"/>
    </row>
    <row r="160" ht="15.75" customHeight="1">
      <c r="A160" s="30"/>
      <c r="B160" s="60"/>
      <c r="C160" s="26"/>
      <c r="D160" s="34"/>
      <c r="E160" s="34"/>
      <c r="F160" s="34"/>
      <c r="G160" s="30"/>
      <c r="I160" s="36"/>
      <c r="J160" s="36"/>
      <c r="K160" s="42"/>
    </row>
    <row r="161" ht="15.75" customHeight="1">
      <c r="A161" s="30"/>
      <c r="B161" s="60"/>
      <c r="C161" s="26"/>
      <c r="D161" s="34"/>
      <c r="E161" s="34"/>
      <c r="F161" s="34"/>
      <c r="G161" s="30"/>
      <c r="I161" s="36"/>
      <c r="J161" s="36"/>
      <c r="K161" s="42"/>
    </row>
    <row r="162" ht="15.75" customHeight="1">
      <c r="A162" s="30"/>
      <c r="B162" s="60"/>
      <c r="C162" s="26"/>
      <c r="D162" s="34"/>
      <c r="E162" s="34"/>
      <c r="F162" s="34"/>
      <c r="G162" s="30"/>
      <c r="I162" s="36"/>
      <c r="J162" s="36"/>
      <c r="K162" s="42"/>
    </row>
    <row r="163" ht="15.75" customHeight="1">
      <c r="A163" s="30"/>
      <c r="B163" s="60"/>
      <c r="C163" s="26"/>
      <c r="D163" s="34"/>
      <c r="E163" s="34"/>
      <c r="F163" s="34"/>
      <c r="G163" s="30"/>
      <c r="I163" s="36"/>
      <c r="J163" s="36"/>
      <c r="K163" s="42"/>
    </row>
    <row r="164" ht="15.75" customHeight="1">
      <c r="A164" s="30"/>
      <c r="B164" s="60"/>
      <c r="C164" s="26"/>
      <c r="D164" s="34"/>
      <c r="E164" s="34"/>
      <c r="F164" s="34"/>
      <c r="G164" s="30"/>
      <c r="I164" s="36"/>
      <c r="J164" s="36"/>
      <c r="K164" s="42"/>
    </row>
    <row r="165" ht="15.75" customHeight="1">
      <c r="A165" s="30"/>
      <c r="B165" s="60"/>
      <c r="C165" s="26"/>
      <c r="D165" s="34"/>
      <c r="E165" s="34"/>
      <c r="F165" s="34"/>
      <c r="G165" s="30"/>
      <c r="I165" s="36"/>
      <c r="J165" s="36"/>
      <c r="K165" s="42"/>
    </row>
    <row r="166" ht="15.75" customHeight="1">
      <c r="A166" s="30"/>
      <c r="B166" s="60"/>
      <c r="C166" s="26"/>
      <c r="D166" s="34"/>
      <c r="E166" s="34"/>
      <c r="F166" s="34"/>
      <c r="G166" s="30"/>
      <c r="I166" s="36"/>
      <c r="J166" s="36"/>
      <c r="K166" s="42"/>
    </row>
    <row r="167" ht="15.75" customHeight="1">
      <c r="A167" s="30"/>
      <c r="B167" s="60"/>
      <c r="C167" s="26"/>
      <c r="D167" s="34"/>
      <c r="E167" s="34"/>
      <c r="F167" s="34"/>
      <c r="G167" s="30"/>
      <c r="I167" s="36"/>
      <c r="J167" s="36"/>
      <c r="K167" s="42"/>
    </row>
    <row r="168" ht="15.75" customHeight="1">
      <c r="A168" s="30"/>
      <c r="B168" s="60"/>
      <c r="C168" s="26"/>
      <c r="D168" s="34"/>
      <c r="E168" s="34"/>
      <c r="F168" s="34"/>
      <c r="G168" s="30"/>
      <c r="I168" s="36"/>
      <c r="J168" s="36"/>
      <c r="K168" s="42"/>
    </row>
    <row r="169" ht="15.75" customHeight="1">
      <c r="A169" s="30"/>
      <c r="B169" s="60"/>
      <c r="C169" s="26"/>
      <c r="D169" s="34"/>
      <c r="E169" s="34"/>
      <c r="F169" s="34"/>
      <c r="G169" s="30"/>
      <c r="I169" s="36"/>
      <c r="J169" s="36"/>
      <c r="K169" s="42"/>
    </row>
    <row r="170" ht="15.75" customHeight="1">
      <c r="A170" s="30"/>
      <c r="B170" s="60"/>
      <c r="C170" s="26"/>
      <c r="D170" s="34"/>
      <c r="E170" s="34"/>
      <c r="F170" s="34"/>
      <c r="G170" s="30"/>
      <c r="I170" s="36"/>
      <c r="J170" s="36"/>
      <c r="K170" s="42"/>
    </row>
    <row r="171" ht="15.75" customHeight="1">
      <c r="A171" s="30"/>
      <c r="B171" s="60"/>
      <c r="C171" s="26"/>
      <c r="D171" s="34"/>
      <c r="E171" s="34"/>
      <c r="F171" s="34"/>
      <c r="G171" s="30"/>
      <c r="I171" s="36"/>
      <c r="J171" s="36"/>
      <c r="K171" s="42"/>
    </row>
    <row r="172" ht="15.75" customHeight="1">
      <c r="A172" s="30"/>
      <c r="B172" s="60"/>
      <c r="C172" s="26"/>
      <c r="D172" s="34"/>
      <c r="E172" s="34"/>
      <c r="F172" s="34"/>
      <c r="G172" s="30"/>
      <c r="I172" s="36"/>
      <c r="J172" s="36"/>
      <c r="K172" s="42"/>
    </row>
    <row r="173" ht="15.75" customHeight="1">
      <c r="A173" s="30"/>
      <c r="B173" s="60"/>
      <c r="C173" s="26"/>
      <c r="D173" s="34"/>
      <c r="E173" s="34"/>
      <c r="F173" s="34"/>
      <c r="G173" s="30"/>
      <c r="I173" s="36"/>
      <c r="J173" s="36"/>
      <c r="K173" s="42"/>
    </row>
    <row r="174" ht="15.75" customHeight="1">
      <c r="A174" s="30"/>
      <c r="B174" s="60"/>
      <c r="C174" s="26"/>
      <c r="D174" s="34"/>
      <c r="E174" s="34"/>
      <c r="F174" s="34"/>
      <c r="G174" s="30"/>
      <c r="I174" s="36"/>
      <c r="J174" s="36"/>
      <c r="K174" s="42"/>
    </row>
    <row r="175" ht="15.75" customHeight="1">
      <c r="A175" s="30"/>
      <c r="B175" s="60"/>
      <c r="C175" s="26"/>
      <c r="D175" s="34"/>
      <c r="E175" s="34"/>
      <c r="F175" s="34"/>
      <c r="G175" s="30"/>
      <c r="I175" s="36"/>
      <c r="J175" s="36"/>
      <c r="K175" s="42"/>
    </row>
    <row r="176" ht="15.75" customHeight="1">
      <c r="A176" s="30"/>
      <c r="B176" s="60"/>
      <c r="C176" s="26"/>
      <c r="D176" s="34"/>
      <c r="E176" s="34"/>
      <c r="F176" s="34"/>
      <c r="G176" s="30"/>
      <c r="I176" s="36"/>
      <c r="J176" s="36"/>
      <c r="K176" s="42"/>
    </row>
    <row r="177" ht="15.75" customHeight="1">
      <c r="A177" s="30"/>
      <c r="B177" s="60"/>
      <c r="C177" s="26"/>
      <c r="D177" s="34"/>
      <c r="E177" s="34"/>
      <c r="F177" s="34"/>
      <c r="G177" s="30"/>
      <c r="I177" s="36"/>
      <c r="J177" s="36"/>
      <c r="K177" s="42"/>
    </row>
    <row r="178" ht="15.75" customHeight="1">
      <c r="A178" s="30"/>
      <c r="B178" s="60"/>
      <c r="C178" s="26"/>
      <c r="D178" s="34"/>
      <c r="E178" s="34"/>
      <c r="F178" s="34"/>
      <c r="G178" s="30"/>
      <c r="I178" s="36"/>
      <c r="J178" s="36"/>
      <c r="K178" s="42"/>
    </row>
    <row r="179" ht="15.75" customHeight="1">
      <c r="A179" s="30"/>
      <c r="B179" s="60"/>
      <c r="C179" s="26"/>
      <c r="D179" s="34"/>
      <c r="E179" s="34"/>
      <c r="F179" s="34"/>
      <c r="G179" s="30"/>
      <c r="I179" s="36"/>
      <c r="J179" s="36"/>
      <c r="K179" s="42"/>
    </row>
    <row r="180" ht="15.75" customHeight="1">
      <c r="A180" s="30"/>
      <c r="B180" s="60"/>
      <c r="C180" s="26"/>
      <c r="D180" s="34"/>
      <c r="E180" s="34"/>
      <c r="F180" s="34"/>
      <c r="G180" s="30"/>
      <c r="I180" s="36"/>
      <c r="J180" s="36"/>
      <c r="K180" s="42"/>
    </row>
    <row r="181" ht="15.75" customHeight="1">
      <c r="A181" s="30"/>
      <c r="B181" s="60"/>
      <c r="C181" s="26"/>
      <c r="D181" s="34"/>
      <c r="E181" s="34"/>
      <c r="F181" s="34"/>
      <c r="G181" s="30"/>
      <c r="I181" s="36"/>
      <c r="J181" s="36"/>
      <c r="K181" s="42"/>
    </row>
    <row r="182" ht="15.75" customHeight="1">
      <c r="A182" s="30"/>
      <c r="B182" s="60"/>
      <c r="C182" s="26"/>
      <c r="D182" s="34"/>
      <c r="E182" s="34"/>
      <c r="F182" s="34"/>
      <c r="G182" s="30"/>
      <c r="I182" s="36"/>
      <c r="J182" s="36"/>
      <c r="K182" s="42"/>
    </row>
    <row r="183" ht="15.75" customHeight="1">
      <c r="A183" s="30"/>
      <c r="B183" s="60"/>
      <c r="C183" s="26"/>
      <c r="D183" s="34"/>
      <c r="E183" s="34"/>
      <c r="F183" s="34"/>
      <c r="G183" s="30"/>
      <c r="I183" s="36"/>
      <c r="J183" s="36"/>
      <c r="K183" s="42"/>
    </row>
    <row r="184" ht="15.75" customHeight="1">
      <c r="A184" s="30"/>
      <c r="B184" s="60"/>
      <c r="C184" s="26"/>
      <c r="D184" s="34"/>
      <c r="E184" s="34"/>
      <c r="F184" s="34"/>
      <c r="G184" s="30"/>
      <c r="I184" s="36"/>
      <c r="J184" s="36"/>
      <c r="K184" s="42"/>
    </row>
    <row r="185" ht="15.75" customHeight="1">
      <c r="A185" s="30"/>
      <c r="B185" s="60"/>
      <c r="C185" s="26"/>
      <c r="D185" s="34"/>
      <c r="E185" s="34"/>
      <c r="F185" s="34"/>
      <c r="G185" s="30"/>
      <c r="I185" s="36"/>
      <c r="J185" s="36"/>
      <c r="K185" s="42"/>
    </row>
    <row r="186" ht="15.75" customHeight="1">
      <c r="A186" s="30"/>
      <c r="B186" s="60"/>
      <c r="C186" s="26"/>
      <c r="D186" s="34"/>
      <c r="E186" s="34"/>
      <c r="F186" s="34"/>
      <c r="G186" s="30"/>
      <c r="I186" s="36"/>
      <c r="J186" s="36"/>
      <c r="K186" s="42"/>
    </row>
    <row r="187" ht="15.75" customHeight="1">
      <c r="A187" s="30"/>
      <c r="B187" s="60"/>
      <c r="C187" s="26"/>
      <c r="D187" s="34"/>
      <c r="E187" s="34"/>
      <c r="F187" s="34"/>
      <c r="G187" s="30"/>
      <c r="I187" s="36"/>
      <c r="J187" s="36"/>
      <c r="K187" s="42"/>
    </row>
    <row r="188" ht="15.75" customHeight="1">
      <c r="A188" s="30"/>
      <c r="B188" s="60"/>
      <c r="C188" s="26"/>
      <c r="D188" s="34"/>
      <c r="E188" s="34"/>
      <c r="F188" s="34"/>
      <c r="G188" s="30"/>
      <c r="I188" s="36"/>
      <c r="J188" s="36"/>
      <c r="K188" s="42"/>
    </row>
    <row r="189" ht="15.75" customHeight="1">
      <c r="A189" s="30"/>
      <c r="B189" s="60"/>
      <c r="C189" s="26"/>
      <c r="D189" s="34"/>
      <c r="E189" s="34"/>
      <c r="F189" s="34"/>
      <c r="G189" s="30"/>
      <c r="I189" s="36"/>
      <c r="J189" s="36"/>
      <c r="K189" s="42"/>
    </row>
    <row r="190" ht="15.75" customHeight="1">
      <c r="A190" s="30"/>
      <c r="B190" s="60"/>
      <c r="C190" s="26"/>
      <c r="D190" s="34"/>
      <c r="E190" s="34"/>
      <c r="F190" s="34"/>
      <c r="G190" s="30"/>
      <c r="I190" s="36"/>
      <c r="J190" s="36"/>
      <c r="K190" s="42"/>
    </row>
    <row r="191" ht="15.75" customHeight="1">
      <c r="A191" s="30"/>
      <c r="B191" s="60"/>
      <c r="C191" s="26"/>
      <c r="D191" s="34"/>
      <c r="E191" s="34"/>
      <c r="F191" s="34"/>
      <c r="G191" s="30"/>
      <c r="I191" s="36"/>
      <c r="J191" s="36"/>
      <c r="K191" s="42"/>
    </row>
    <row r="192" ht="15.75" customHeight="1">
      <c r="A192" s="30"/>
      <c r="B192" s="60"/>
      <c r="C192" s="26"/>
      <c r="D192" s="34"/>
      <c r="E192" s="34"/>
      <c r="F192" s="34"/>
      <c r="G192" s="30"/>
      <c r="I192" s="36"/>
      <c r="J192" s="36"/>
      <c r="K192" s="42"/>
    </row>
    <row r="193" ht="15.75" customHeight="1">
      <c r="A193" s="30"/>
      <c r="B193" s="60"/>
      <c r="C193" s="26"/>
      <c r="D193" s="34"/>
      <c r="E193" s="34"/>
      <c r="F193" s="34"/>
      <c r="G193" s="30"/>
      <c r="I193" s="36"/>
      <c r="J193" s="36"/>
      <c r="K193" s="42"/>
    </row>
    <row r="194" ht="15.75" customHeight="1">
      <c r="A194" s="30"/>
      <c r="B194" s="60"/>
      <c r="C194" s="26"/>
      <c r="D194" s="34"/>
      <c r="E194" s="34"/>
      <c r="F194" s="34"/>
      <c r="G194" s="30"/>
      <c r="I194" s="36"/>
      <c r="J194" s="36"/>
      <c r="K194" s="42"/>
    </row>
    <row r="195" ht="15.75" customHeight="1">
      <c r="A195" s="30"/>
      <c r="B195" s="60"/>
      <c r="C195" s="26"/>
      <c r="D195" s="34"/>
      <c r="E195" s="34"/>
      <c r="F195" s="34"/>
      <c r="G195" s="30"/>
      <c r="I195" s="36"/>
      <c r="J195" s="36"/>
      <c r="K195" s="42"/>
    </row>
    <row r="196" ht="15.75" customHeight="1">
      <c r="A196" s="30"/>
      <c r="B196" s="60"/>
      <c r="C196" s="26"/>
      <c r="D196" s="34"/>
      <c r="E196" s="34"/>
      <c r="F196" s="34"/>
      <c r="G196" s="30"/>
      <c r="I196" s="36"/>
      <c r="J196" s="36"/>
      <c r="K196" s="42"/>
    </row>
    <row r="197" ht="15.75" customHeight="1">
      <c r="A197" s="30"/>
      <c r="B197" s="60"/>
      <c r="C197" s="26"/>
      <c r="D197" s="34"/>
      <c r="E197" s="34"/>
      <c r="F197" s="34"/>
      <c r="G197" s="30"/>
      <c r="I197" s="36"/>
      <c r="J197" s="36"/>
      <c r="K197" s="42"/>
    </row>
    <row r="198" ht="15.75" customHeight="1">
      <c r="A198" s="30"/>
      <c r="B198" s="60"/>
      <c r="C198" s="26"/>
      <c r="D198" s="34"/>
      <c r="E198" s="34"/>
      <c r="F198" s="34"/>
      <c r="G198" s="30"/>
      <c r="I198" s="36"/>
      <c r="J198" s="36"/>
      <c r="K198" s="42"/>
    </row>
    <row r="199" ht="15.75" customHeight="1">
      <c r="A199" s="30"/>
      <c r="B199" s="60"/>
      <c r="C199" s="26"/>
      <c r="D199" s="34"/>
      <c r="E199" s="34"/>
      <c r="F199" s="34"/>
      <c r="G199" s="30"/>
      <c r="I199" s="36"/>
      <c r="J199" s="36"/>
      <c r="K199" s="42"/>
    </row>
    <row r="200" ht="15.75" customHeight="1">
      <c r="A200" s="30"/>
      <c r="B200" s="60"/>
      <c r="C200" s="26"/>
      <c r="D200" s="34"/>
      <c r="E200" s="34"/>
      <c r="F200" s="34"/>
      <c r="G200" s="30"/>
      <c r="I200" s="36"/>
      <c r="J200" s="36"/>
      <c r="K200" s="42"/>
    </row>
    <row r="201" ht="15.75" customHeight="1">
      <c r="A201" s="30"/>
      <c r="B201" s="60"/>
      <c r="C201" s="26"/>
      <c r="D201" s="34"/>
      <c r="E201" s="34"/>
      <c r="F201" s="34"/>
      <c r="G201" s="30"/>
      <c r="I201" s="36"/>
      <c r="J201" s="36"/>
      <c r="K201" s="42"/>
    </row>
    <row r="202" ht="15.75" customHeight="1">
      <c r="A202" s="30"/>
      <c r="B202" s="60"/>
      <c r="C202" s="26"/>
      <c r="D202" s="34"/>
      <c r="E202" s="34"/>
      <c r="F202" s="34"/>
      <c r="G202" s="30"/>
      <c r="I202" s="36"/>
      <c r="J202" s="36"/>
      <c r="K202" s="42"/>
    </row>
    <row r="203" ht="15.75" customHeight="1">
      <c r="A203" s="30"/>
      <c r="B203" s="60"/>
      <c r="C203" s="26"/>
      <c r="D203" s="34"/>
      <c r="E203" s="34"/>
      <c r="F203" s="34"/>
      <c r="G203" s="30"/>
      <c r="I203" s="36"/>
      <c r="J203" s="36"/>
      <c r="K203" s="42"/>
    </row>
    <row r="204" ht="15.75" customHeight="1">
      <c r="A204" s="30"/>
      <c r="B204" s="60"/>
      <c r="C204" s="26"/>
      <c r="D204" s="34"/>
      <c r="E204" s="34"/>
      <c r="F204" s="34"/>
      <c r="G204" s="30"/>
      <c r="I204" s="36"/>
      <c r="J204" s="36"/>
      <c r="K204" s="42"/>
    </row>
    <row r="205" ht="15.75" customHeight="1">
      <c r="A205" s="30"/>
      <c r="B205" s="60"/>
      <c r="C205" s="26"/>
      <c r="D205" s="34"/>
      <c r="E205" s="34"/>
      <c r="F205" s="34"/>
      <c r="G205" s="30"/>
      <c r="I205" s="36"/>
      <c r="J205" s="36"/>
      <c r="K205" s="42"/>
    </row>
    <row r="206" ht="15.75" customHeight="1">
      <c r="A206" s="30"/>
      <c r="B206" s="60"/>
      <c r="C206" s="26"/>
      <c r="D206" s="34"/>
      <c r="E206" s="34"/>
      <c r="F206" s="34"/>
      <c r="G206" s="30"/>
      <c r="I206" s="36"/>
      <c r="J206" s="36"/>
      <c r="K206" s="42"/>
    </row>
    <row r="207" ht="15.75" customHeight="1">
      <c r="A207" s="30"/>
      <c r="B207" s="60"/>
      <c r="C207" s="26"/>
      <c r="D207" s="34"/>
      <c r="E207" s="34"/>
      <c r="F207" s="34"/>
      <c r="G207" s="30"/>
      <c r="I207" s="36"/>
      <c r="J207" s="36"/>
      <c r="K207" s="42"/>
    </row>
    <row r="208" ht="15.75" customHeight="1">
      <c r="A208" s="30"/>
      <c r="B208" s="60"/>
      <c r="C208" s="26"/>
      <c r="D208" s="34"/>
      <c r="E208" s="34"/>
      <c r="F208" s="34"/>
      <c r="G208" s="30"/>
      <c r="I208" s="36"/>
      <c r="J208" s="36"/>
      <c r="K208" s="42"/>
    </row>
    <row r="209" ht="15.75" customHeight="1">
      <c r="A209" s="30"/>
      <c r="B209" s="60"/>
      <c r="C209" s="26"/>
      <c r="D209" s="34"/>
      <c r="E209" s="34"/>
      <c r="F209" s="34"/>
      <c r="G209" s="30"/>
      <c r="I209" s="36"/>
      <c r="J209" s="36"/>
      <c r="K209" s="42"/>
    </row>
    <row r="210" ht="15.75" customHeight="1">
      <c r="A210" s="30"/>
      <c r="B210" s="60"/>
      <c r="C210" s="26"/>
      <c r="D210" s="34"/>
      <c r="E210" s="34"/>
      <c r="F210" s="34"/>
      <c r="G210" s="30"/>
      <c r="I210" s="36"/>
      <c r="J210" s="36"/>
      <c r="K210" s="42"/>
    </row>
    <row r="211" ht="15.75" customHeight="1">
      <c r="A211" s="30"/>
      <c r="B211" s="60"/>
      <c r="C211" s="26"/>
      <c r="D211" s="34"/>
      <c r="E211" s="34"/>
      <c r="F211" s="34"/>
      <c r="G211" s="30"/>
      <c r="I211" s="36"/>
      <c r="J211" s="36"/>
      <c r="K211" s="42"/>
    </row>
    <row r="212" ht="15.75" customHeight="1">
      <c r="A212" s="30"/>
      <c r="B212" s="60"/>
      <c r="C212" s="26"/>
      <c r="D212" s="34"/>
      <c r="E212" s="34"/>
      <c r="F212" s="34"/>
      <c r="G212" s="30"/>
      <c r="I212" s="36"/>
      <c r="J212" s="36"/>
      <c r="K212" s="42"/>
    </row>
    <row r="213" ht="15.75" customHeight="1">
      <c r="A213" s="30"/>
      <c r="B213" s="60"/>
      <c r="C213" s="26"/>
      <c r="D213" s="34"/>
      <c r="E213" s="34"/>
      <c r="F213" s="34"/>
      <c r="G213" s="30"/>
      <c r="I213" s="36"/>
      <c r="J213" s="36"/>
      <c r="K213" s="42"/>
    </row>
    <row r="214" ht="15.75" customHeight="1">
      <c r="A214" s="30"/>
      <c r="B214" s="60"/>
      <c r="C214" s="26"/>
      <c r="D214" s="34"/>
      <c r="E214" s="34"/>
      <c r="F214" s="34"/>
      <c r="G214" s="30"/>
      <c r="I214" s="36"/>
      <c r="J214" s="36"/>
      <c r="K214" s="42"/>
    </row>
    <row r="215" ht="15.75" customHeight="1">
      <c r="A215" s="30"/>
      <c r="B215" s="60"/>
      <c r="C215" s="26"/>
      <c r="D215" s="34"/>
      <c r="E215" s="34"/>
      <c r="F215" s="34"/>
      <c r="G215" s="30"/>
      <c r="I215" s="36"/>
      <c r="J215" s="36"/>
      <c r="K215" s="42"/>
    </row>
    <row r="216" ht="15.75" customHeight="1">
      <c r="A216" s="30"/>
      <c r="B216" s="60"/>
      <c r="C216" s="26"/>
      <c r="D216" s="34"/>
      <c r="E216" s="34"/>
      <c r="F216" s="34"/>
      <c r="G216" s="30"/>
      <c r="I216" s="36"/>
      <c r="J216" s="36"/>
      <c r="K216" s="42"/>
    </row>
    <row r="217" ht="15.75" customHeight="1">
      <c r="A217" s="30"/>
      <c r="B217" s="60"/>
      <c r="C217" s="26"/>
      <c r="D217" s="34"/>
      <c r="E217" s="34"/>
      <c r="F217" s="34"/>
      <c r="G217" s="30"/>
      <c r="I217" s="36"/>
      <c r="J217" s="36"/>
      <c r="K217" s="42"/>
    </row>
    <row r="218" ht="15.75" customHeight="1">
      <c r="A218" s="30"/>
      <c r="B218" s="60"/>
      <c r="C218" s="26"/>
      <c r="D218" s="34"/>
      <c r="E218" s="34"/>
      <c r="F218" s="34"/>
      <c r="G218" s="30"/>
      <c r="I218" s="36"/>
      <c r="J218" s="36"/>
      <c r="K218" s="42"/>
    </row>
    <row r="219" ht="15.75" customHeight="1">
      <c r="A219" s="30"/>
      <c r="B219" s="60"/>
      <c r="C219" s="26"/>
      <c r="D219" s="34"/>
      <c r="E219" s="34"/>
      <c r="F219" s="34"/>
      <c r="G219" s="30"/>
      <c r="I219" s="36"/>
      <c r="J219" s="36"/>
      <c r="K219" s="42"/>
    </row>
    <row r="220" ht="15.75" customHeight="1">
      <c r="A220" s="30"/>
      <c r="B220" s="60"/>
      <c r="C220" s="26"/>
      <c r="D220" s="34"/>
      <c r="E220" s="34"/>
      <c r="F220" s="34"/>
      <c r="G220" s="30"/>
      <c r="I220" s="36"/>
      <c r="J220" s="36"/>
      <c r="K220" s="42"/>
    </row>
    <row r="221" ht="15.75" customHeight="1">
      <c r="A221" s="30"/>
      <c r="B221" s="60"/>
      <c r="C221" s="26"/>
      <c r="D221" s="34"/>
      <c r="E221" s="34"/>
      <c r="F221" s="34"/>
      <c r="G221" s="30"/>
      <c r="I221" s="36"/>
      <c r="J221" s="36"/>
      <c r="K221" s="42"/>
    </row>
    <row r="222" ht="15.75" customHeight="1">
      <c r="A222" s="30"/>
      <c r="B222" s="60"/>
      <c r="C222" s="26"/>
      <c r="D222" s="34"/>
      <c r="E222" s="34"/>
      <c r="F222" s="34"/>
      <c r="G222" s="30"/>
      <c r="I222" s="36"/>
      <c r="J222" s="36"/>
      <c r="K222" s="42"/>
    </row>
    <row r="223" ht="15.75" customHeight="1">
      <c r="A223" s="30"/>
      <c r="B223" s="60"/>
      <c r="C223" s="26"/>
      <c r="D223" s="34"/>
      <c r="E223" s="34"/>
      <c r="F223" s="34"/>
      <c r="G223" s="30"/>
      <c r="I223" s="36"/>
      <c r="J223" s="36"/>
      <c r="K223" s="42"/>
    </row>
    <row r="224" ht="15.75" customHeight="1">
      <c r="A224" s="30"/>
      <c r="B224" s="60"/>
      <c r="C224" s="26"/>
      <c r="D224" s="34"/>
      <c r="E224" s="34"/>
      <c r="F224" s="34"/>
      <c r="G224" s="30"/>
      <c r="I224" s="36"/>
      <c r="J224" s="36"/>
      <c r="K224" s="42"/>
    </row>
    <row r="225" ht="15.75" customHeight="1">
      <c r="A225" s="30"/>
      <c r="B225" s="60"/>
      <c r="C225" s="26"/>
      <c r="D225" s="34"/>
      <c r="E225" s="34"/>
      <c r="F225" s="34"/>
      <c r="G225" s="30"/>
      <c r="I225" s="36"/>
      <c r="J225" s="36"/>
      <c r="K225" s="42"/>
    </row>
    <row r="226" ht="15.75" customHeight="1">
      <c r="A226" s="30"/>
      <c r="B226" s="60"/>
      <c r="C226" s="26"/>
      <c r="D226" s="34"/>
      <c r="E226" s="34"/>
      <c r="F226" s="34"/>
      <c r="G226" s="30"/>
      <c r="I226" s="36"/>
      <c r="J226" s="36"/>
      <c r="K226" s="42"/>
    </row>
    <row r="227" ht="15.75" customHeight="1">
      <c r="A227" s="30"/>
      <c r="B227" s="60"/>
      <c r="C227" s="26"/>
      <c r="D227" s="34"/>
      <c r="E227" s="34"/>
      <c r="F227" s="34"/>
      <c r="G227" s="30"/>
      <c r="I227" s="36"/>
      <c r="J227" s="36"/>
      <c r="K227" s="42"/>
    </row>
    <row r="228" ht="15.75" customHeight="1">
      <c r="A228" s="30"/>
      <c r="B228" s="60"/>
      <c r="C228" s="26"/>
      <c r="D228" s="34"/>
      <c r="E228" s="34"/>
      <c r="F228" s="34"/>
      <c r="G228" s="30"/>
      <c r="I228" s="36"/>
      <c r="J228" s="36"/>
      <c r="K228" s="42"/>
    </row>
    <row r="229" ht="15.75" customHeight="1">
      <c r="A229" s="30"/>
      <c r="B229" s="60"/>
      <c r="C229" s="26"/>
      <c r="D229" s="34"/>
      <c r="E229" s="34"/>
      <c r="F229" s="34"/>
      <c r="G229" s="30"/>
      <c r="I229" s="36"/>
      <c r="J229" s="36"/>
      <c r="K229" s="42"/>
    </row>
    <row r="230" ht="15.75" customHeight="1">
      <c r="A230" s="30"/>
      <c r="B230" s="60"/>
      <c r="C230" s="26"/>
      <c r="D230" s="34"/>
      <c r="E230" s="34"/>
      <c r="F230" s="34"/>
      <c r="G230" s="30"/>
      <c r="I230" s="36"/>
      <c r="J230" s="36"/>
      <c r="K230" s="42"/>
    </row>
    <row r="231" ht="15.75" customHeight="1">
      <c r="A231" s="30"/>
      <c r="B231" s="60"/>
      <c r="C231" s="26"/>
      <c r="D231" s="34"/>
      <c r="E231" s="34"/>
      <c r="F231" s="34"/>
      <c r="G231" s="30"/>
      <c r="I231" s="36"/>
      <c r="J231" s="36"/>
      <c r="K231" s="42"/>
    </row>
    <row r="232" ht="15.75" customHeight="1">
      <c r="A232" s="30"/>
      <c r="B232" s="60"/>
      <c r="C232" s="26"/>
      <c r="D232" s="34"/>
      <c r="E232" s="34"/>
      <c r="F232" s="34"/>
      <c r="G232" s="30"/>
      <c r="I232" s="36"/>
      <c r="J232" s="36"/>
      <c r="K232" s="42"/>
    </row>
    <row r="233" ht="15.75" customHeight="1">
      <c r="A233" s="30"/>
      <c r="B233" s="60"/>
      <c r="C233" s="26"/>
      <c r="D233" s="34"/>
      <c r="E233" s="34"/>
      <c r="F233" s="34"/>
      <c r="G233" s="30"/>
      <c r="I233" s="36"/>
      <c r="J233" s="36"/>
      <c r="K233" s="42"/>
    </row>
    <row r="234" ht="15.75" customHeight="1">
      <c r="A234" s="30"/>
      <c r="B234" s="60"/>
      <c r="C234" s="26"/>
      <c r="D234" s="34"/>
      <c r="E234" s="34"/>
      <c r="F234" s="34"/>
      <c r="G234" s="30"/>
      <c r="I234" s="36"/>
      <c r="J234" s="36"/>
      <c r="K234" s="42"/>
    </row>
    <row r="235" ht="15.75" customHeight="1">
      <c r="A235" s="30"/>
      <c r="B235" s="60"/>
      <c r="C235" s="26"/>
      <c r="D235" s="34"/>
      <c r="E235" s="34"/>
      <c r="F235" s="34"/>
      <c r="G235" s="30"/>
      <c r="I235" s="36"/>
      <c r="J235" s="36"/>
      <c r="K235" s="42"/>
    </row>
    <row r="236" ht="15.75" customHeight="1">
      <c r="A236" s="30"/>
      <c r="B236" s="60"/>
      <c r="C236" s="26"/>
      <c r="D236" s="34"/>
      <c r="E236" s="34"/>
      <c r="F236" s="34"/>
      <c r="G236" s="30"/>
      <c r="I236" s="36"/>
      <c r="J236" s="36"/>
      <c r="K236" s="42"/>
    </row>
    <row r="237" ht="15.75" customHeight="1">
      <c r="A237" s="30"/>
      <c r="B237" s="60"/>
      <c r="C237" s="26"/>
      <c r="D237" s="34"/>
      <c r="E237" s="34"/>
      <c r="F237" s="34"/>
      <c r="G237" s="30"/>
      <c r="I237" s="36"/>
      <c r="J237" s="36"/>
      <c r="K237" s="42"/>
    </row>
    <row r="238" ht="15.75" customHeight="1">
      <c r="A238" s="30"/>
      <c r="B238" s="60"/>
      <c r="C238" s="26"/>
      <c r="D238" s="34"/>
      <c r="E238" s="34"/>
      <c r="F238" s="34"/>
      <c r="G238" s="30"/>
      <c r="I238" s="36"/>
      <c r="J238" s="36"/>
      <c r="K238" s="42"/>
    </row>
    <row r="239" ht="15.75" customHeight="1">
      <c r="A239" s="30"/>
      <c r="B239" s="60"/>
      <c r="C239" s="26"/>
      <c r="D239" s="34"/>
      <c r="E239" s="34"/>
      <c r="F239" s="34"/>
      <c r="G239" s="30"/>
      <c r="I239" s="36"/>
      <c r="J239" s="36"/>
      <c r="K239" s="42"/>
    </row>
    <row r="240" ht="15.75" customHeight="1">
      <c r="A240" s="30"/>
      <c r="B240" s="60"/>
      <c r="C240" s="26"/>
      <c r="D240" s="34"/>
      <c r="E240" s="34"/>
      <c r="F240" s="34"/>
      <c r="G240" s="30"/>
      <c r="I240" s="36"/>
      <c r="J240" s="36"/>
      <c r="K240" s="42"/>
    </row>
    <row r="241" ht="15.75" customHeight="1">
      <c r="A241" s="30"/>
      <c r="B241" s="60"/>
      <c r="C241" s="26"/>
      <c r="D241" s="34"/>
      <c r="E241" s="34"/>
      <c r="F241" s="34"/>
      <c r="G241" s="30"/>
      <c r="I241" s="36"/>
      <c r="J241" s="36"/>
      <c r="K241" s="42"/>
    </row>
    <row r="242" ht="15.75" customHeight="1">
      <c r="A242" s="30"/>
      <c r="B242" s="60"/>
      <c r="C242" s="26"/>
      <c r="D242" s="34"/>
      <c r="E242" s="34"/>
      <c r="F242" s="34"/>
      <c r="G242" s="30"/>
      <c r="I242" s="36"/>
      <c r="J242" s="36"/>
      <c r="K242" s="42"/>
    </row>
    <row r="243" ht="15.75" customHeight="1">
      <c r="A243" s="30"/>
      <c r="B243" s="60"/>
      <c r="C243" s="26"/>
      <c r="D243" s="34"/>
      <c r="E243" s="34"/>
      <c r="F243" s="34"/>
      <c r="G243" s="30"/>
      <c r="I243" s="36"/>
      <c r="J243" s="36"/>
      <c r="K243" s="42"/>
    </row>
    <row r="244" ht="15.75" customHeight="1">
      <c r="A244" s="30"/>
      <c r="B244" s="60"/>
      <c r="C244" s="26"/>
      <c r="D244" s="34"/>
      <c r="E244" s="34"/>
      <c r="F244" s="34"/>
      <c r="G244" s="30"/>
      <c r="I244" s="36"/>
      <c r="J244" s="36"/>
      <c r="K244" s="42"/>
    </row>
    <row r="245" ht="15.75" customHeight="1">
      <c r="A245" s="30"/>
      <c r="B245" s="60"/>
      <c r="C245" s="26"/>
      <c r="D245" s="34"/>
      <c r="E245" s="34"/>
      <c r="F245" s="34"/>
      <c r="G245" s="30"/>
      <c r="I245" s="36"/>
      <c r="J245" s="36"/>
      <c r="K245" s="42"/>
    </row>
    <row r="246" ht="15.75" customHeight="1">
      <c r="A246" s="30"/>
      <c r="B246" s="60"/>
      <c r="C246" s="26"/>
      <c r="D246" s="34"/>
      <c r="E246" s="34"/>
      <c r="F246" s="34"/>
      <c r="G246" s="30"/>
      <c r="I246" s="36"/>
      <c r="J246" s="36"/>
      <c r="K246" s="42"/>
    </row>
    <row r="247" ht="15.75" customHeight="1">
      <c r="A247" s="30"/>
      <c r="B247" s="60"/>
      <c r="C247" s="26"/>
      <c r="D247" s="34"/>
      <c r="E247" s="34"/>
      <c r="F247" s="34"/>
      <c r="G247" s="30"/>
      <c r="I247" s="36"/>
      <c r="J247" s="36"/>
      <c r="K247" s="42"/>
    </row>
    <row r="248" ht="15.75" customHeight="1">
      <c r="A248" s="30"/>
      <c r="B248" s="60"/>
      <c r="C248" s="26"/>
      <c r="D248" s="34"/>
      <c r="E248" s="34"/>
      <c r="F248" s="34"/>
      <c r="G248" s="30"/>
      <c r="I248" s="36"/>
      <c r="J248" s="36"/>
      <c r="K248" s="42"/>
    </row>
    <row r="249" ht="15.75" customHeight="1">
      <c r="A249" s="30"/>
      <c r="B249" s="60"/>
      <c r="C249" s="26"/>
      <c r="D249" s="34"/>
      <c r="E249" s="34"/>
      <c r="F249" s="34"/>
      <c r="G249" s="30"/>
      <c r="I249" s="36"/>
      <c r="J249" s="36"/>
      <c r="K249" s="42"/>
    </row>
    <row r="250" ht="15.75" customHeight="1">
      <c r="A250" s="30"/>
      <c r="B250" s="60"/>
      <c r="C250" s="26"/>
      <c r="D250" s="34"/>
      <c r="E250" s="34"/>
      <c r="F250" s="34"/>
      <c r="G250" s="30"/>
      <c r="I250" s="36"/>
      <c r="J250" s="36"/>
      <c r="K250" s="42"/>
    </row>
    <row r="251" ht="15.75" customHeight="1">
      <c r="A251" s="30"/>
      <c r="B251" s="60"/>
      <c r="C251" s="26"/>
      <c r="D251" s="34"/>
      <c r="E251" s="34"/>
      <c r="F251" s="34"/>
      <c r="G251" s="30"/>
      <c r="I251" s="36"/>
      <c r="J251" s="36"/>
      <c r="K251" s="42"/>
    </row>
    <row r="252" ht="15.75" customHeight="1">
      <c r="A252" s="30"/>
      <c r="B252" s="60"/>
      <c r="C252" s="26"/>
      <c r="D252" s="34"/>
      <c r="E252" s="34"/>
      <c r="F252" s="34"/>
      <c r="G252" s="30"/>
      <c r="I252" s="36"/>
      <c r="J252" s="36"/>
      <c r="K252" s="42"/>
    </row>
    <row r="253" ht="15.75" customHeight="1">
      <c r="A253" s="30"/>
      <c r="B253" s="60"/>
      <c r="C253" s="26"/>
      <c r="D253" s="34"/>
      <c r="E253" s="34"/>
      <c r="F253" s="34"/>
      <c r="G253" s="30"/>
      <c r="I253" s="36"/>
      <c r="J253" s="36"/>
      <c r="K253" s="42"/>
    </row>
    <row r="254" ht="15.75" customHeight="1">
      <c r="A254" s="30"/>
      <c r="B254" s="60"/>
      <c r="C254" s="26"/>
      <c r="D254" s="34"/>
      <c r="E254" s="34"/>
      <c r="F254" s="34"/>
      <c r="G254" s="30"/>
      <c r="I254" s="36"/>
      <c r="J254" s="36"/>
      <c r="K254" s="42"/>
    </row>
    <row r="255" ht="15.75" customHeight="1">
      <c r="A255" s="30"/>
      <c r="B255" s="60"/>
      <c r="C255" s="26"/>
      <c r="D255" s="34"/>
      <c r="E255" s="34"/>
      <c r="F255" s="34"/>
      <c r="G255" s="30"/>
      <c r="I255" s="36"/>
      <c r="J255" s="36"/>
      <c r="K255" s="42"/>
    </row>
    <row r="256" ht="15.75" customHeight="1">
      <c r="A256" s="30"/>
      <c r="B256" s="60"/>
      <c r="C256" s="26"/>
      <c r="D256" s="34"/>
      <c r="E256" s="34"/>
      <c r="F256" s="34"/>
      <c r="G256" s="30"/>
      <c r="I256" s="36"/>
      <c r="J256" s="36"/>
      <c r="K256" s="42"/>
    </row>
    <row r="257" ht="15.75" customHeight="1">
      <c r="A257" s="30"/>
      <c r="B257" s="60"/>
      <c r="C257" s="26"/>
      <c r="D257" s="34"/>
      <c r="E257" s="34"/>
      <c r="F257" s="34"/>
      <c r="G257" s="30"/>
      <c r="I257" s="36"/>
      <c r="J257" s="36"/>
      <c r="K257" s="42"/>
    </row>
    <row r="258" ht="15.75" customHeight="1">
      <c r="A258" s="30"/>
      <c r="B258" s="60"/>
      <c r="C258" s="26"/>
      <c r="D258" s="34"/>
      <c r="E258" s="34"/>
      <c r="F258" s="34"/>
      <c r="G258" s="30"/>
      <c r="I258" s="36"/>
      <c r="J258" s="36"/>
      <c r="K258" s="42"/>
    </row>
    <row r="259" ht="15.75" customHeight="1">
      <c r="A259" s="30"/>
      <c r="B259" s="60"/>
      <c r="C259" s="26"/>
      <c r="D259" s="34"/>
      <c r="E259" s="34"/>
      <c r="F259" s="34"/>
      <c r="G259" s="30"/>
      <c r="I259" s="36"/>
      <c r="J259" s="36"/>
      <c r="K259" s="42"/>
    </row>
    <row r="260" ht="15.75" customHeight="1">
      <c r="A260" s="30"/>
      <c r="B260" s="60"/>
      <c r="C260" s="26"/>
      <c r="D260" s="34"/>
      <c r="E260" s="34"/>
      <c r="F260" s="34"/>
      <c r="G260" s="30"/>
      <c r="I260" s="36"/>
      <c r="J260" s="36"/>
      <c r="K260" s="42"/>
    </row>
    <row r="261" ht="15.75" customHeight="1">
      <c r="A261" s="30"/>
      <c r="B261" s="60"/>
      <c r="C261" s="26"/>
      <c r="D261" s="34"/>
      <c r="E261" s="34"/>
      <c r="F261" s="34"/>
      <c r="G261" s="30"/>
      <c r="I261" s="36"/>
      <c r="J261" s="36"/>
      <c r="K261" s="42"/>
    </row>
    <row r="262" ht="15.75" customHeight="1">
      <c r="A262" s="30"/>
      <c r="B262" s="60"/>
      <c r="C262" s="26"/>
      <c r="D262" s="34"/>
      <c r="E262" s="34"/>
      <c r="F262" s="34"/>
      <c r="G262" s="30"/>
      <c r="I262" s="36"/>
      <c r="J262" s="36"/>
      <c r="K262" s="42"/>
    </row>
    <row r="263" ht="15.75" customHeight="1">
      <c r="A263" s="30"/>
      <c r="B263" s="60"/>
      <c r="C263" s="26"/>
      <c r="D263" s="34"/>
      <c r="E263" s="34"/>
      <c r="F263" s="34"/>
      <c r="G263" s="30"/>
      <c r="I263" s="36"/>
      <c r="J263" s="36"/>
      <c r="K263" s="42"/>
    </row>
    <row r="264" ht="15.75" customHeight="1">
      <c r="A264" s="30"/>
      <c r="B264" s="60"/>
      <c r="C264" s="26"/>
      <c r="D264" s="34"/>
      <c r="E264" s="34"/>
      <c r="F264" s="34"/>
      <c r="G264" s="30"/>
      <c r="I264" s="36"/>
      <c r="J264" s="36"/>
      <c r="K264" s="42"/>
    </row>
    <row r="265" ht="15.75" customHeight="1">
      <c r="A265" s="30"/>
      <c r="B265" s="60"/>
      <c r="C265" s="26"/>
      <c r="D265" s="34"/>
      <c r="E265" s="34"/>
      <c r="F265" s="34"/>
      <c r="G265" s="30"/>
      <c r="I265" s="36"/>
      <c r="J265" s="36"/>
      <c r="K265" s="42"/>
    </row>
    <row r="266" ht="15.75" customHeight="1">
      <c r="A266" s="30"/>
      <c r="B266" s="60"/>
      <c r="C266" s="26"/>
      <c r="D266" s="34"/>
      <c r="E266" s="34"/>
      <c r="F266" s="34"/>
      <c r="G266" s="30"/>
      <c r="I266" s="36"/>
      <c r="J266" s="36"/>
      <c r="K266" s="42"/>
    </row>
    <row r="267" ht="15.75" customHeight="1">
      <c r="A267" s="30"/>
      <c r="B267" s="60"/>
      <c r="C267" s="26"/>
      <c r="D267" s="34"/>
      <c r="E267" s="34"/>
      <c r="F267" s="34"/>
      <c r="G267" s="30"/>
      <c r="I267" s="36"/>
      <c r="J267" s="36"/>
      <c r="K267" s="42"/>
    </row>
    <row r="268" ht="15.75" customHeight="1">
      <c r="A268" s="30"/>
      <c r="B268" s="60"/>
      <c r="C268" s="26"/>
      <c r="D268" s="34"/>
      <c r="E268" s="34"/>
      <c r="F268" s="34"/>
      <c r="G268" s="30"/>
      <c r="I268" s="36"/>
      <c r="J268" s="36"/>
      <c r="K268" s="42"/>
    </row>
    <row r="269" ht="15.75" customHeight="1">
      <c r="A269" s="30"/>
      <c r="B269" s="60"/>
      <c r="C269" s="26"/>
      <c r="D269" s="34"/>
      <c r="E269" s="34"/>
      <c r="F269" s="34"/>
      <c r="G269" s="30"/>
      <c r="I269" s="36"/>
      <c r="J269" s="36"/>
      <c r="K269" s="42"/>
    </row>
    <row r="270" ht="15.75" customHeight="1">
      <c r="A270" s="30"/>
      <c r="B270" s="60"/>
      <c r="C270" s="26"/>
      <c r="D270" s="34"/>
      <c r="E270" s="34"/>
      <c r="F270" s="34"/>
      <c r="G270" s="30"/>
      <c r="I270" s="36"/>
      <c r="J270" s="36"/>
      <c r="K270" s="42"/>
    </row>
    <row r="271" ht="15.75" customHeight="1">
      <c r="A271" s="30"/>
      <c r="B271" s="60"/>
      <c r="C271" s="26"/>
      <c r="D271" s="34"/>
      <c r="E271" s="34"/>
      <c r="F271" s="34"/>
      <c r="G271" s="30"/>
      <c r="I271" s="36"/>
      <c r="J271" s="36"/>
      <c r="K271" s="42"/>
    </row>
    <row r="272" ht="15.75" customHeight="1">
      <c r="A272" s="30"/>
      <c r="B272" s="60"/>
      <c r="C272" s="26"/>
      <c r="D272" s="34"/>
      <c r="E272" s="34"/>
      <c r="F272" s="34"/>
      <c r="G272" s="30"/>
      <c r="I272" s="36"/>
      <c r="J272" s="36"/>
      <c r="K272" s="42"/>
    </row>
    <row r="273" ht="15.75" customHeight="1">
      <c r="A273" s="30"/>
      <c r="B273" s="60"/>
      <c r="C273" s="26"/>
      <c r="D273" s="34"/>
      <c r="E273" s="34"/>
      <c r="F273" s="34"/>
      <c r="G273" s="30"/>
      <c r="I273" s="36"/>
      <c r="J273" s="36"/>
      <c r="K273" s="42"/>
    </row>
    <row r="274" ht="15.75" customHeight="1">
      <c r="A274" s="30"/>
      <c r="B274" s="60"/>
      <c r="C274" s="26"/>
      <c r="D274" s="34"/>
      <c r="E274" s="34"/>
      <c r="F274" s="34"/>
      <c r="G274" s="30"/>
      <c r="I274" s="36"/>
      <c r="J274" s="36"/>
      <c r="K274" s="42"/>
    </row>
    <row r="275" ht="15.75" customHeight="1">
      <c r="A275" s="30"/>
      <c r="B275" s="60"/>
      <c r="C275" s="26"/>
      <c r="D275" s="34"/>
      <c r="E275" s="34"/>
      <c r="F275" s="34"/>
      <c r="G275" s="30"/>
      <c r="I275" s="36"/>
      <c r="J275" s="36"/>
      <c r="K275" s="42"/>
    </row>
    <row r="276" ht="15.75" customHeight="1">
      <c r="A276" s="30"/>
      <c r="B276" s="60"/>
      <c r="C276" s="26"/>
      <c r="D276" s="34"/>
      <c r="E276" s="34"/>
      <c r="F276" s="34"/>
      <c r="G276" s="30"/>
      <c r="I276" s="36"/>
      <c r="J276" s="36"/>
      <c r="K276" s="42"/>
    </row>
    <row r="277" ht="15.75" customHeight="1">
      <c r="A277" s="30"/>
      <c r="B277" s="60"/>
      <c r="C277" s="26"/>
      <c r="D277" s="34"/>
      <c r="E277" s="34"/>
      <c r="F277" s="34"/>
      <c r="G277" s="30"/>
      <c r="I277" s="36"/>
      <c r="J277" s="36"/>
      <c r="K277" s="42"/>
    </row>
    <row r="278" ht="15.75" customHeight="1">
      <c r="A278" s="30"/>
      <c r="B278" s="60"/>
      <c r="C278" s="26"/>
      <c r="D278" s="34"/>
      <c r="E278" s="34"/>
      <c r="F278" s="34"/>
      <c r="G278" s="30"/>
      <c r="I278" s="36"/>
      <c r="J278" s="36"/>
      <c r="K278" s="42"/>
    </row>
    <row r="279" ht="15.75" customHeight="1">
      <c r="A279" s="30"/>
      <c r="B279" s="60"/>
      <c r="C279" s="26"/>
      <c r="D279" s="34"/>
      <c r="E279" s="34"/>
      <c r="F279" s="34"/>
      <c r="G279" s="30"/>
      <c r="I279" s="36"/>
      <c r="J279" s="36"/>
      <c r="K279" s="42"/>
    </row>
    <row r="280" ht="15.75" customHeight="1">
      <c r="A280" s="30"/>
      <c r="B280" s="60"/>
      <c r="C280" s="26"/>
      <c r="D280" s="34"/>
      <c r="E280" s="34"/>
      <c r="F280" s="34"/>
      <c r="G280" s="30"/>
      <c r="I280" s="36"/>
      <c r="J280" s="36"/>
      <c r="K280" s="42"/>
    </row>
    <row r="281" ht="15.75" customHeight="1">
      <c r="A281" s="30"/>
      <c r="B281" s="60"/>
      <c r="C281" s="26"/>
      <c r="D281" s="34"/>
      <c r="E281" s="34"/>
      <c r="F281" s="34"/>
      <c r="G281" s="30"/>
      <c r="I281" s="36"/>
      <c r="J281" s="36"/>
      <c r="K281" s="42"/>
    </row>
    <row r="282" ht="15.75" customHeight="1">
      <c r="A282" s="30"/>
      <c r="B282" s="60"/>
      <c r="C282" s="26"/>
      <c r="D282" s="34"/>
      <c r="E282" s="34"/>
      <c r="F282" s="34"/>
      <c r="G282" s="30"/>
      <c r="I282" s="36"/>
      <c r="J282" s="36"/>
      <c r="K282" s="42"/>
    </row>
    <row r="283" ht="15.75" customHeight="1">
      <c r="A283" s="30"/>
      <c r="B283" s="60"/>
      <c r="C283" s="26"/>
      <c r="D283" s="34"/>
      <c r="E283" s="34"/>
      <c r="F283" s="34"/>
      <c r="G283" s="30"/>
      <c r="I283" s="36"/>
      <c r="J283" s="36"/>
      <c r="K283" s="42"/>
    </row>
    <row r="284" ht="15.75" customHeight="1">
      <c r="A284" s="30"/>
      <c r="B284" s="60"/>
      <c r="C284" s="26"/>
      <c r="D284" s="34"/>
      <c r="E284" s="34"/>
      <c r="F284" s="34"/>
      <c r="G284" s="30"/>
      <c r="I284" s="36"/>
      <c r="J284" s="36"/>
      <c r="K284" s="42"/>
    </row>
    <row r="285" ht="15.75" customHeight="1">
      <c r="A285" s="30"/>
      <c r="B285" s="60"/>
      <c r="C285" s="26"/>
      <c r="D285" s="34"/>
      <c r="E285" s="34"/>
      <c r="F285" s="34"/>
      <c r="G285" s="30"/>
      <c r="I285" s="36"/>
      <c r="J285" s="36"/>
      <c r="K285" s="42"/>
    </row>
    <row r="286" ht="15.75" customHeight="1">
      <c r="A286" s="30"/>
      <c r="B286" s="60"/>
      <c r="C286" s="26"/>
      <c r="D286" s="34"/>
      <c r="E286" s="34"/>
      <c r="F286" s="34"/>
      <c r="G286" s="30"/>
      <c r="I286" s="36"/>
      <c r="J286" s="36"/>
      <c r="K286" s="42"/>
    </row>
    <row r="287" ht="15.75" customHeight="1">
      <c r="A287" s="30"/>
      <c r="B287" s="60"/>
      <c r="C287" s="26"/>
      <c r="D287" s="34"/>
      <c r="E287" s="34"/>
      <c r="F287" s="34"/>
      <c r="G287" s="30"/>
      <c r="I287" s="36"/>
      <c r="J287" s="36"/>
      <c r="K287" s="42"/>
    </row>
    <row r="288" ht="15.75" customHeight="1">
      <c r="A288" s="30"/>
      <c r="B288" s="60"/>
      <c r="C288" s="26"/>
      <c r="D288" s="34"/>
      <c r="E288" s="34"/>
      <c r="F288" s="34"/>
      <c r="G288" s="30"/>
      <c r="I288" s="36"/>
      <c r="J288" s="36"/>
      <c r="K288" s="42"/>
    </row>
    <row r="289" ht="15.75" customHeight="1">
      <c r="A289" s="30"/>
      <c r="B289" s="60"/>
      <c r="C289" s="26"/>
      <c r="D289" s="34"/>
      <c r="E289" s="34"/>
      <c r="F289" s="34"/>
      <c r="G289" s="30"/>
      <c r="I289" s="36"/>
      <c r="J289" s="36"/>
      <c r="K289" s="42"/>
    </row>
    <row r="290" ht="15.75" customHeight="1">
      <c r="A290" s="30"/>
      <c r="B290" s="60"/>
      <c r="C290" s="26"/>
      <c r="D290" s="34"/>
      <c r="E290" s="34"/>
      <c r="F290" s="34"/>
      <c r="G290" s="30"/>
      <c r="I290" s="36"/>
      <c r="J290" s="36"/>
      <c r="K290" s="42"/>
    </row>
    <row r="291" ht="15.75" customHeight="1">
      <c r="A291" s="30"/>
      <c r="B291" s="60"/>
      <c r="C291" s="26"/>
      <c r="D291" s="34"/>
      <c r="E291" s="34"/>
      <c r="F291" s="34"/>
      <c r="G291" s="30"/>
      <c r="I291" s="36"/>
      <c r="J291" s="36"/>
      <c r="K291" s="42"/>
    </row>
    <row r="292" ht="15.75" customHeight="1">
      <c r="A292" s="30"/>
      <c r="B292" s="60"/>
      <c r="C292" s="26"/>
      <c r="D292" s="34"/>
      <c r="E292" s="34"/>
      <c r="F292" s="34"/>
      <c r="G292" s="30"/>
      <c r="I292" s="36"/>
      <c r="J292" s="36"/>
      <c r="K292" s="42"/>
    </row>
    <row r="293" ht="15.75" customHeight="1">
      <c r="A293" s="30"/>
      <c r="B293" s="60"/>
      <c r="C293" s="26"/>
      <c r="D293" s="34"/>
      <c r="E293" s="34"/>
      <c r="F293" s="34"/>
      <c r="G293" s="30"/>
      <c r="I293" s="36"/>
      <c r="J293" s="36"/>
      <c r="K293" s="42"/>
    </row>
    <row r="294" ht="15.75" customHeight="1">
      <c r="A294" s="30"/>
      <c r="B294" s="60"/>
      <c r="C294" s="26"/>
      <c r="D294" s="34"/>
      <c r="E294" s="34"/>
      <c r="F294" s="34"/>
      <c r="G294" s="30"/>
      <c r="I294" s="36"/>
      <c r="J294" s="36"/>
      <c r="K294" s="42"/>
    </row>
    <row r="295" ht="15.75" customHeight="1">
      <c r="A295" s="30"/>
      <c r="B295" s="60"/>
      <c r="C295" s="26"/>
      <c r="D295" s="34"/>
      <c r="E295" s="34"/>
      <c r="F295" s="34"/>
      <c r="G295" s="30"/>
      <c r="I295" s="36"/>
      <c r="J295" s="36"/>
      <c r="K295" s="42"/>
    </row>
    <row r="296" ht="15.75" customHeight="1">
      <c r="A296" s="30"/>
      <c r="B296" s="60"/>
      <c r="C296" s="26"/>
      <c r="D296" s="34"/>
      <c r="E296" s="34"/>
      <c r="F296" s="34"/>
      <c r="G296" s="30"/>
      <c r="I296" s="36"/>
      <c r="J296" s="36"/>
      <c r="K296" s="42"/>
    </row>
    <row r="297" ht="15.75" customHeight="1">
      <c r="A297" s="30"/>
      <c r="B297" s="60"/>
      <c r="C297" s="26"/>
      <c r="D297" s="34"/>
      <c r="E297" s="34"/>
      <c r="F297" s="34"/>
      <c r="G297" s="30"/>
      <c r="I297" s="36"/>
      <c r="J297" s="36"/>
      <c r="K297" s="42"/>
    </row>
    <row r="298" ht="15.75" customHeight="1">
      <c r="A298" s="30"/>
      <c r="B298" s="60"/>
      <c r="C298" s="26"/>
      <c r="D298" s="34"/>
      <c r="E298" s="34"/>
      <c r="F298" s="34"/>
      <c r="G298" s="30"/>
      <c r="I298" s="36"/>
      <c r="J298" s="36"/>
      <c r="K298" s="42"/>
    </row>
    <row r="299" ht="15.75" customHeight="1">
      <c r="A299" s="30"/>
      <c r="B299" s="60"/>
      <c r="C299" s="26"/>
      <c r="D299" s="34"/>
      <c r="E299" s="34"/>
      <c r="F299" s="34"/>
      <c r="G299" s="30"/>
      <c r="I299" s="36"/>
      <c r="J299" s="36"/>
      <c r="K299" s="42"/>
    </row>
    <row r="300" ht="15.75" customHeight="1">
      <c r="A300" s="30"/>
      <c r="B300" s="60"/>
      <c r="C300" s="26"/>
      <c r="D300" s="34"/>
      <c r="E300" s="34"/>
      <c r="F300" s="34"/>
      <c r="G300" s="30"/>
      <c r="I300" s="36"/>
      <c r="J300" s="36"/>
      <c r="K300" s="42"/>
    </row>
    <row r="301" ht="15.75" customHeight="1">
      <c r="A301" s="30"/>
      <c r="B301" s="60"/>
      <c r="C301" s="26"/>
      <c r="D301" s="34"/>
      <c r="E301" s="34"/>
      <c r="F301" s="34"/>
      <c r="G301" s="30"/>
      <c r="I301" s="36"/>
      <c r="J301" s="36"/>
      <c r="K301" s="42"/>
    </row>
    <row r="302" ht="15.75" customHeight="1">
      <c r="A302" s="30"/>
      <c r="B302" s="60"/>
      <c r="C302" s="26"/>
      <c r="D302" s="34"/>
      <c r="E302" s="34"/>
      <c r="F302" s="34"/>
      <c r="G302" s="30"/>
      <c r="I302" s="36"/>
      <c r="J302" s="36"/>
      <c r="K302" s="42"/>
    </row>
    <row r="303" ht="15.75" customHeight="1">
      <c r="A303" s="30"/>
      <c r="B303" s="60"/>
      <c r="C303" s="26"/>
      <c r="D303" s="34"/>
      <c r="E303" s="34"/>
      <c r="F303" s="34"/>
      <c r="G303" s="30"/>
      <c r="I303" s="36"/>
      <c r="J303" s="36"/>
      <c r="K303" s="42"/>
    </row>
    <row r="304" ht="15.75" customHeight="1">
      <c r="A304" s="30"/>
      <c r="B304" s="60"/>
      <c r="C304" s="26"/>
      <c r="D304" s="34"/>
      <c r="E304" s="34"/>
      <c r="F304" s="34"/>
      <c r="G304" s="30"/>
      <c r="I304" s="36"/>
      <c r="J304" s="36"/>
      <c r="K304" s="42"/>
    </row>
    <row r="305" ht="15.75" customHeight="1">
      <c r="A305" s="30"/>
      <c r="B305" s="60"/>
      <c r="C305" s="26"/>
      <c r="D305" s="34"/>
      <c r="E305" s="34"/>
      <c r="F305" s="34"/>
      <c r="G305" s="30"/>
      <c r="I305" s="36"/>
      <c r="J305" s="36"/>
      <c r="K305" s="42"/>
    </row>
    <row r="306" ht="15.75" customHeight="1">
      <c r="A306" s="30"/>
      <c r="B306" s="60"/>
      <c r="C306" s="26"/>
      <c r="D306" s="34"/>
      <c r="E306" s="34"/>
      <c r="F306" s="34"/>
      <c r="G306" s="30"/>
      <c r="I306" s="36"/>
      <c r="J306" s="36"/>
      <c r="K306" s="42"/>
    </row>
    <row r="307" ht="15.75" customHeight="1">
      <c r="A307" s="30"/>
      <c r="B307" s="60"/>
      <c r="C307" s="26"/>
      <c r="D307" s="34"/>
      <c r="E307" s="34"/>
      <c r="F307" s="34"/>
      <c r="G307" s="30"/>
      <c r="I307" s="36"/>
      <c r="J307" s="36"/>
      <c r="K307" s="42"/>
    </row>
    <row r="308" ht="15.75" customHeight="1">
      <c r="A308" s="30"/>
      <c r="B308" s="60"/>
      <c r="C308" s="26"/>
      <c r="D308" s="34"/>
      <c r="E308" s="34"/>
      <c r="F308" s="34"/>
      <c r="G308" s="30"/>
      <c r="I308" s="36"/>
      <c r="J308" s="36"/>
      <c r="K308" s="42"/>
    </row>
    <row r="309" ht="15.75" customHeight="1">
      <c r="A309" s="30"/>
      <c r="B309" s="60"/>
      <c r="C309" s="26"/>
      <c r="D309" s="34"/>
      <c r="E309" s="34"/>
      <c r="F309" s="34"/>
      <c r="G309" s="30"/>
      <c r="I309" s="36"/>
      <c r="J309" s="36"/>
      <c r="K309" s="42"/>
    </row>
    <row r="310" ht="15.75" customHeight="1">
      <c r="A310" s="30"/>
      <c r="B310" s="60"/>
      <c r="C310" s="26"/>
      <c r="D310" s="34"/>
      <c r="E310" s="34"/>
      <c r="F310" s="34"/>
      <c r="G310" s="30"/>
      <c r="I310" s="36"/>
      <c r="J310" s="36"/>
      <c r="K310" s="42"/>
    </row>
    <row r="311" ht="15.75" customHeight="1">
      <c r="A311" s="30"/>
      <c r="B311" s="60"/>
      <c r="C311" s="26"/>
      <c r="D311" s="34"/>
      <c r="E311" s="34"/>
      <c r="F311" s="34"/>
      <c r="G311" s="30"/>
      <c r="I311" s="36"/>
      <c r="J311" s="36"/>
      <c r="K311" s="42"/>
    </row>
    <row r="312" ht="15.75" customHeight="1">
      <c r="A312" s="30"/>
      <c r="B312" s="60"/>
      <c r="C312" s="26"/>
      <c r="D312" s="34"/>
      <c r="E312" s="34"/>
      <c r="F312" s="34"/>
      <c r="G312" s="30"/>
      <c r="I312" s="36"/>
      <c r="J312" s="36"/>
      <c r="K312" s="42"/>
    </row>
    <row r="313" ht="15.75" customHeight="1">
      <c r="A313" s="30"/>
      <c r="B313" s="60"/>
      <c r="C313" s="26"/>
      <c r="D313" s="34"/>
      <c r="E313" s="34"/>
      <c r="F313" s="34"/>
      <c r="G313" s="30"/>
      <c r="I313" s="36"/>
      <c r="J313" s="36"/>
      <c r="K313" s="42"/>
    </row>
    <row r="314" ht="15.75" customHeight="1">
      <c r="A314" s="30"/>
      <c r="B314" s="60"/>
      <c r="C314" s="26"/>
      <c r="D314" s="34"/>
      <c r="E314" s="34"/>
      <c r="F314" s="34"/>
      <c r="G314" s="30"/>
      <c r="I314" s="36"/>
      <c r="J314" s="36"/>
      <c r="K314" s="42"/>
    </row>
    <row r="315" ht="15.75" customHeight="1">
      <c r="A315" s="30"/>
      <c r="B315" s="60"/>
      <c r="C315" s="26"/>
      <c r="D315" s="34"/>
      <c r="E315" s="34"/>
      <c r="F315" s="34"/>
      <c r="G315" s="30"/>
      <c r="I315" s="36"/>
      <c r="J315" s="36"/>
      <c r="K315" s="42"/>
    </row>
    <row r="316" ht="15.75" customHeight="1">
      <c r="A316" s="30"/>
      <c r="B316" s="60"/>
      <c r="C316" s="26"/>
      <c r="D316" s="34"/>
      <c r="E316" s="34"/>
      <c r="F316" s="34"/>
      <c r="G316" s="30"/>
      <c r="I316" s="36"/>
      <c r="J316" s="36"/>
      <c r="K316" s="42"/>
    </row>
    <row r="317" ht="15.75" customHeight="1">
      <c r="A317" s="30"/>
      <c r="B317" s="60"/>
      <c r="C317" s="26"/>
      <c r="D317" s="34"/>
      <c r="E317" s="34"/>
      <c r="F317" s="34"/>
      <c r="G317" s="30"/>
      <c r="I317" s="36"/>
      <c r="J317" s="36"/>
      <c r="K317" s="42"/>
    </row>
    <row r="318" ht="15.75" customHeight="1">
      <c r="A318" s="30"/>
      <c r="B318" s="60"/>
      <c r="C318" s="26"/>
      <c r="D318" s="34"/>
      <c r="E318" s="34"/>
      <c r="F318" s="34"/>
      <c r="G318" s="30"/>
      <c r="I318" s="36"/>
      <c r="J318" s="36"/>
      <c r="K318" s="42"/>
    </row>
    <row r="319" ht="15.75" customHeight="1">
      <c r="A319" s="30"/>
      <c r="B319" s="60"/>
      <c r="C319" s="26"/>
      <c r="D319" s="34"/>
      <c r="E319" s="34"/>
      <c r="F319" s="34"/>
      <c r="G319" s="30"/>
      <c r="I319" s="36"/>
      <c r="J319" s="36"/>
      <c r="K319" s="42"/>
    </row>
    <row r="320" ht="15.75" customHeight="1">
      <c r="A320" s="30"/>
      <c r="B320" s="60"/>
      <c r="C320" s="26"/>
      <c r="D320" s="34"/>
      <c r="E320" s="34"/>
      <c r="F320" s="34"/>
      <c r="G320" s="30"/>
      <c r="I320" s="36"/>
      <c r="J320" s="36"/>
      <c r="K320" s="42"/>
    </row>
    <row r="321" ht="15.75" customHeight="1">
      <c r="A321" s="30"/>
      <c r="B321" s="60"/>
      <c r="C321" s="26"/>
      <c r="D321" s="34"/>
      <c r="E321" s="34"/>
      <c r="F321" s="34"/>
      <c r="G321" s="30"/>
      <c r="I321" s="36"/>
      <c r="J321" s="36"/>
      <c r="K321" s="42"/>
    </row>
    <row r="322" ht="15.75" customHeight="1">
      <c r="A322" s="30"/>
      <c r="B322" s="60"/>
      <c r="C322" s="26"/>
      <c r="D322" s="34"/>
      <c r="E322" s="34"/>
      <c r="F322" s="34"/>
      <c r="G322" s="30"/>
      <c r="I322" s="36"/>
      <c r="J322" s="36"/>
      <c r="K322" s="42"/>
    </row>
    <row r="323" ht="15.75" customHeight="1">
      <c r="A323" s="30"/>
      <c r="B323" s="60"/>
      <c r="C323" s="26"/>
      <c r="D323" s="34"/>
      <c r="E323" s="34"/>
      <c r="F323" s="34"/>
      <c r="G323" s="30"/>
      <c r="I323" s="36"/>
      <c r="J323" s="36"/>
      <c r="K323" s="42"/>
    </row>
    <row r="324" ht="15.75" customHeight="1">
      <c r="A324" s="30"/>
      <c r="B324" s="60"/>
      <c r="C324" s="26"/>
      <c r="D324" s="34"/>
      <c r="E324" s="34"/>
      <c r="F324" s="34"/>
      <c r="G324" s="30"/>
      <c r="I324" s="36"/>
      <c r="J324" s="36"/>
      <c r="K324" s="42"/>
    </row>
    <row r="325" ht="15.75" customHeight="1">
      <c r="A325" s="30"/>
      <c r="B325" s="60"/>
      <c r="C325" s="26"/>
      <c r="D325" s="34"/>
      <c r="E325" s="34"/>
      <c r="F325" s="34"/>
      <c r="G325" s="30"/>
      <c r="I325" s="36"/>
      <c r="J325" s="36"/>
      <c r="K325" s="42"/>
    </row>
    <row r="326" ht="15.75" customHeight="1">
      <c r="A326" s="30"/>
      <c r="B326" s="60"/>
      <c r="C326" s="26"/>
      <c r="D326" s="34"/>
      <c r="E326" s="34"/>
      <c r="F326" s="34"/>
      <c r="G326" s="30"/>
      <c r="I326" s="36"/>
      <c r="J326" s="36"/>
      <c r="K326" s="42"/>
    </row>
    <row r="327" ht="15.75" customHeight="1">
      <c r="A327" s="30"/>
      <c r="B327" s="60"/>
      <c r="C327" s="26"/>
      <c r="D327" s="34"/>
      <c r="E327" s="34"/>
      <c r="F327" s="34"/>
      <c r="G327" s="30"/>
      <c r="I327" s="36"/>
      <c r="J327" s="36"/>
      <c r="K327" s="42"/>
    </row>
    <row r="328" ht="15.75" customHeight="1">
      <c r="A328" s="30"/>
      <c r="B328" s="60"/>
      <c r="C328" s="26"/>
      <c r="D328" s="34"/>
      <c r="E328" s="34"/>
      <c r="F328" s="34"/>
      <c r="G328" s="30"/>
      <c r="I328" s="36"/>
      <c r="J328" s="36"/>
      <c r="K328" s="42"/>
    </row>
    <row r="329" ht="15.75" customHeight="1">
      <c r="A329" s="30"/>
      <c r="B329" s="60"/>
      <c r="C329" s="26"/>
      <c r="D329" s="34"/>
      <c r="E329" s="34"/>
      <c r="F329" s="34"/>
      <c r="G329" s="30"/>
      <c r="I329" s="36"/>
      <c r="J329" s="36"/>
      <c r="K329" s="42"/>
    </row>
    <row r="330" ht="15.75" customHeight="1">
      <c r="A330" s="30"/>
      <c r="B330" s="60"/>
      <c r="C330" s="26"/>
      <c r="D330" s="34"/>
      <c r="E330" s="34"/>
      <c r="F330" s="34"/>
      <c r="G330" s="30"/>
      <c r="I330" s="36"/>
      <c r="J330" s="36"/>
      <c r="K330" s="42"/>
    </row>
    <row r="331" ht="15.75" customHeight="1">
      <c r="A331" s="30"/>
      <c r="B331" s="60"/>
      <c r="C331" s="26"/>
      <c r="D331" s="34"/>
      <c r="E331" s="34"/>
      <c r="F331" s="34"/>
      <c r="G331" s="30"/>
      <c r="I331" s="36"/>
      <c r="J331" s="36"/>
      <c r="K331" s="42"/>
    </row>
    <row r="332" ht="15.75" customHeight="1">
      <c r="A332" s="30"/>
      <c r="B332" s="60"/>
      <c r="C332" s="26"/>
      <c r="D332" s="34"/>
      <c r="E332" s="34"/>
      <c r="F332" s="34"/>
      <c r="G332" s="30"/>
      <c r="I332" s="36"/>
      <c r="J332" s="36"/>
      <c r="K332" s="42"/>
    </row>
    <row r="333" ht="15.75" customHeight="1">
      <c r="A333" s="30"/>
      <c r="B333" s="60"/>
      <c r="C333" s="26"/>
      <c r="D333" s="34"/>
      <c r="E333" s="34"/>
      <c r="F333" s="34"/>
      <c r="G333" s="30"/>
      <c r="I333" s="36"/>
      <c r="J333" s="36"/>
      <c r="K333" s="42"/>
    </row>
    <row r="334" ht="15.75" customHeight="1">
      <c r="A334" s="30"/>
      <c r="B334" s="60"/>
      <c r="C334" s="26"/>
      <c r="D334" s="34"/>
      <c r="E334" s="34"/>
      <c r="F334" s="34"/>
      <c r="G334" s="30"/>
      <c r="I334" s="36"/>
      <c r="J334" s="36"/>
      <c r="K334" s="42"/>
    </row>
    <row r="335" ht="15.75" customHeight="1">
      <c r="A335" s="30"/>
      <c r="B335" s="60"/>
      <c r="C335" s="26"/>
      <c r="D335" s="34"/>
      <c r="E335" s="34"/>
      <c r="F335" s="34"/>
      <c r="G335" s="30"/>
      <c r="I335" s="36"/>
      <c r="J335" s="36"/>
      <c r="K335" s="42"/>
    </row>
    <row r="336" ht="15.75" customHeight="1">
      <c r="A336" s="30"/>
      <c r="B336" s="60"/>
      <c r="C336" s="26"/>
      <c r="D336" s="34"/>
      <c r="E336" s="34"/>
      <c r="F336" s="34"/>
      <c r="G336" s="30"/>
      <c r="I336" s="36"/>
      <c r="J336" s="36"/>
      <c r="K336" s="42"/>
    </row>
    <row r="337" ht="15.75" customHeight="1">
      <c r="A337" s="30"/>
      <c r="B337" s="60"/>
      <c r="C337" s="26"/>
      <c r="D337" s="34"/>
      <c r="E337" s="34"/>
      <c r="F337" s="34"/>
      <c r="G337" s="30"/>
      <c r="I337" s="36"/>
      <c r="J337" s="36"/>
      <c r="K337" s="42"/>
    </row>
    <row r="338" ht="15.75" customHeight="1">
      <c r="A338" s="30"/>
      <c r="B338" s="60"/>
      <c r="C338" s="26"/>
      <c r="D338" s="34"/>
      <c r="E338" s="34"/>
      <c r="F338" s="34"/>
      <c r="G338" s="30"/>
      <c r="I338" s="36"/>
      <c r="J338" s="36"/>
      <c r="K338" s="42"/>
    </row>
    <row r="339" ht="15.75" customHeight="1">
      <c r="A339" s="30"/>
      <c r="B339" s="60"/>
      <c r="C339" s="26"/>
      <c r="D339" s="34"/>
      <c r="E339" s="34"/>
      <c r="F339" s="34"/>
      <c r="G339" s="30"/>
      <c r="I339" s="36"/>
      <c r="J339" s="36"/>
      <c r="K339" s="42"/>
    </row>
    <row r="340" ht="15.75" customHeight="1">
      <c r="A340" s="30"/>
      <c r="B340" s="60"/>
      <c r="C340" s="26"/>
      <c r="D340" s="34"/>
      <c r="E340" s="34"/>
      <c r="F340" s="34"/>
      <c r="G340" s="30"/>
      <c r="I340" s="36"/>
      <c r="J340" s="36"/>
      <c r="K340" s="42"/>
    </row>
    <row r="341" ht="15.75" customHeight="1">
      <c r="A341" s="30"/>
      <c r="B341" s="60"/>
      <c r="C341" s="26"/>
      <c r="D341" s="34"/>
      <c r="E341" s="34"/>
      <c r="F341" s="34"/>
      <c r="G341" s="30"/>
      <c r="I341" s="36"/>
      <c r="J341" s="36"/>
      <c r="K341" s="42"/>
    </row>
    <row r="342" ht="15.75" customHeight="1">
      <c r="A342" s="30"/>
      <c r="B342" s="60"/>
      <c r="C342" s="26"/>
      <c r="D342" s="34"/>
      <c r="E342" s="34"/>
      <c r="F342" s="34"/>
      <c r="G342" s="30"/>
      <c r="I342" s="36"/>
      <c r="J342" s="36"/>
      <c r="K342" s="42"/>
    </row>
    <row r="343" ht="15.75" customHeight="1">
      <c r="A343" s="30"/>
      <c r="B343" s="60"/>
      <c r="C343" s="26"/>
      <c r="D343" s="34"/>
      <c r="E343" s="34"/>
      <c r="F343" s="34"/>
      <c r="G343" s="30"/>
      <c r="I343" s="36"/>
      <c r="J343" s="36"/>
      <c r="K343" s="42"/>
    </row>
    <row r="344" ht="15.75" customHeight="1">
      <c r="A344" s="30"/>
      <c r="B344" s="60"/>
      <c r="C344" s="26"/>
      <c r="D344" s="34"/>
      <c r="E344" s="34"/>
      <c r="F344" s="34"/>
      <c r="G344" s="30"/>
      <c r="I344" s="36"/>
      <c r="J344" s="36"/>
      <c r="K344" s="42"/>
    </row>
    <row r="345" ht="15.75" customHeight="1">
      <c r="A345" s="30"/>
      <c r="B345" s="60"/>
      <c r="C345" s="26"/>
      <c r="D345" s="34"/>
      <c r="E345" s="34"/>
      <c r="F345" s="34"/>
      <c r="G345" s="30"/>
      <c r="I345" s="36"/>
      <c r="J345" s="36"/>
      <c r="K345" s="42"/>
    </row>
    <row r="346" ht="15.75" customHeight="1">
      <c r="A346" s="30"/>
      <c r="B346" s="60"/>
      <c r="C346" s="26"/>
      <c r="D346" s="34"/>
      <c r="E346" s="34"/>
      <c r="F346" s="34"/>
      <c r="G346" s="30"/>
      <c r="I346" s="36"/>
      <c r="J346" s="36"/>
      <c r="K346" s="42"/>
    </row>
    <row r="347" ht="15.75" customHeight="1">
      <c r="A347" s="30"/>
      <c r="B347" s="60"/>
      <c r="C347" s="26"/>
      <c r="D347" s="34"/>
      <c r="E347" s="34"/>
      <c r="F347" s="34"/>
      <c r="G347" s="30"/>
      <c r="I347" s="36"/>
      <c r="J347" s="36"/>
      <c r="K347" s="42"/>
    </row>
    <row r="348" ht="15.75" customHeight="1">
      <c r="A348" s="30"/>
      <c r="B348" s="60"/>
      <c r="C348" s="26"/>
      <c r="D348" s="34"/>
      <c r="E348" s="34"/>
      <c r="F348" s="34"/>
      <c r="G348" s="30"/>
      <c r="I348" s="36"/>
      <c r="J348" s="36"/>
      <c r="K348" s="42"/>
    </row>
    <row r="349" ht="15.75" customHeight="1">
      <c r="A349" s="30"/>
      <c r="B349" s="60"/>
      <c r="C349" s="26"/>
      <c r="D349" s="34"/>
      <c r="E349" s="34"/>
      <c r="F349" s="34"/>
      <c r="G349" s="30"/>
      <c r="I349" s="36"/>
      <c r="J349" s="36"/>
      <c r="K349" s="42"/>
    </row>
    <row r="350" ht="15.75" customHeight="1">
      <c r="A350" s="30"/>
      <c r="B350" s="60"/>
      <c r="C350" s="26"/>
      <c r="D350" s="34"/>
      <c r="E350" s="34"/>
      <c r="F350" s="34"/>
      <c r="G350" s="30"/>
      <c r="I350" s="36"/>
      <c r="J350" s="36"/>
      <c r="K350" s="42"/>
    </row>
    <row r="351" ht="15.75" customHeight="1">
      <c r="A351" s="30"/>
      <c r="B351" s="60"/>
      <c r="C351" s="26"/>
      <c r="D351" s="34"/>
      <c r="E351" s="34"/>
      <c r="F351" s="34"/>
      <c r="G351" s="30"/>
      <c r="I351" s="36"/>
      <c r="J351" s="36"/>
      <c r="K351" s="42"/>
    </row>
    <row r="352" ht="15.75" customHeight="1">
      <c r="A352" s="30"/>
      <c r="B352" s="60"/>
      <c r="C352" s="26"/>
      <c r="D352" s="34"/>
      <c r="E352" s="34"/>
      <c r="F352" s="34"/>
      <c r="G352" s="30"/>
      <c r="I352" s="36"/>
      <c r="J352" s="36"/>
      <c r="K352" s="42"/>
    </row>
    <row r="353" ht="15.75" customHeight="1">
      <c r="A353" s="30"/>
      <c r="B353" s="60"/>
      <c r="C353" s="26"/>
      <c r="D353" s="34"/>
      <c r="E353" s="34"/>
      <c r="F353" s="34"/>
      <c r="G353" s="30"/>
      <c r="I353" s="36"/>
      <c r="J353" s="36"/>
      <c r="K353" s="42"/>
    </row>
    <row r="354" ht="15.75" customHeight="1">
      <c r="A354" s="30"/>
      <c r="B354" s="60"/>
      <c r="C354" s="26"/>
      <c r="D354" s="34"/>
      <c r="E354" s="34"/>
      <c r="F354" s="34"/>
      <c r="G354" s="30"/>
      <c r="I354" s="36"/>
      <c r="J354" s="36"/>
      <c r="K354" s="42"/>
    </row>
    <row r="355" ht="15.75" customHeight="1">
      <c r="A355" s="30"/>
      <c r="B355" s="60"/>
      <c r="C355" s="26"/>
      <c r="D355" s="34"/>
      <c r="E355" s="34"/>
      <c r="F355" s="34"/>
      <c r="G355" s="30"/>
      <c r="I355" s="36"/>
      <c r="J355" s="36"/>
      <c r="K355" s="42"/>
    </row>
    <row r="356" ht="15.75" customHeight="1">
      <c r="A356" s="30"/>
      <c r="B356" s="60"/>
      <c r="C356" s="26"/>
      <c r="D356" s="34"/>
      <c r="E356" s="34"/>
      <c r="F356" s="34"/>
      <c r="G356" s="30"/>
      <c r="I356" s="36"/>
      <c r="J356" s="36"/>
      <c r="K356" s="42"/>
    </row>
    <row r="357" ht="15.75" customHeight="1">
      <c r="A357" s="30"/>
      <c r="B357" s="60"/>
      <c r="C357" s="26"/>
      <c r="D357" s="34"/>
      <c r="E357" s="34"/>
      <c r="F357" s="34"/>
      <c r="G357" s="30"/>
      <c r="I357" s="36"/>
      <c r="J357" s="36"/>
      <c r="K357" s="42"/>
    </row>
    <row r="358" ht="15.75" customHeight="1">
      <c r="A358" s="30"/>
      <c r="B358" s="60"/>
      <c r="C358" s="26"/>
      <c r="D358" s="34"/>
      <c r="E358" s="34"/>
      <c r="F358" s="34"/>
      <c r="G358" s="30"/>
      <c r="I358" s="36"/>
      <c r="J358" s="36"/>
      <c r="K358" s="42"/>
    </row>
    <row r="359" ht="15.75" customHeight="1">
      <c r="A359" s="30"/>
      <c r="B359" s="60"/>
      <c r="C359" s="26"/>
      <c r="D359" s="34"/>
      <c r="E359" s="34"/>
      <c r="F359" s="34"/>
      <c r="G359" s="30"/>
      <c r="I359" s="36"/>
      <c r="J359" s="36"/>
      <c r="K359" s="42"/>
    </row>
    <row r="360" ht="15.75" customHeight="1">
      <c r="A360" s="30"/>
      <c r="B360" s="60"/>
      <c r="C360" s="26"/>
      <c r="D360" s="34"/>
      <c r="E360" s="34"/>
      <c r="F360" s="34"/>
      <c r="G360" s="30"/>
      <c r="I360" s="36"/>
      <c r="J360" s="36"/>
      <c r="K360" s="42"/>
    </row>
    <row r="361" ht="15.75" customHeight="1">
      <c r="A361" s="30"/>
      <c r="B361" s="60"/>
      <c r="C361" s="26"/>
      <c r="D361" s="34"/>
      <c r="E361" s="34"/>
      <c r="F361" s="34"/>
      <c r="G361" s="30"/>
      <c r="I361" s="36"/>
      <c r="J361" s="36"/>
      <c r="K361" s="42"/>
    </row>
    <row r="362" ht="15.75" customHeight="1">
      <c r="A362" s="30"/>
      <c r="B362" s="60"/>
      <c r="C362" s="26"/>
      <c r="D362" s="34"/>
      <c r="E362" s="34"/>
      <c r="F362" s="34"/>
      <c r="G362" s="30"/>
      <c r="I362" s="36"/>
      <c r="J362" s="36"/>
      <c r="K362" s="42"/>
    </row>
    <row r="363" ht="15.75" customHeight="1">
      <c r="A363" s="30"/>
      <c r="B363" s="60"/>
      <c r="C363" s="26"/>
      <c r="D363" s="34"/>
      <c r="E363" s="34"/>
      <c r="F363" s="34"/>
      <c r="G363" s="30"/>
      <c r="I363" s="36"/>
      <c r="J363" s="36"/>
      <c r="K363" s="42"/>
    </row>
    <row r="364" ht="15.75" customHeight="1">
      <c r="A364" s="30"/>
      <c r="B364" s="60"/>
      <c r="C364" s="26"/>
      <c r="D364" s="34"/>
      <c r="E364" s="34"/>
      <c r="F364" s="34"/>
      <c r="G364" s="30"/>
      <c r="I364" s="36"/>
      <c r="J364" s="36"/>
      <c r="K364" s="42"/>
    </row>
    <row r="365" ht="15.75" customHeight="1">
      <c r="A365" s="30"/>
      <c r="B365" s="60"/>
      <c r="C365" s="26"/>
      <c r="D365" s="34"/>
      <c r="E365" s="34"/>
      <c r="F365" s="34"/>
      <c r="G365" s="30"/>
      <c r="I365" s="36"/>
      <c r="J365" s="36"/>
      <c r="K365" s="42"/>
    </row>
    <row r="366" ht="15.75" customHeight="1">
      <c r="A366" s="30"/>
      <c r="B366" s="60"/>
      <c r="C366" s="26"/>
      <c r="D366" s="34"/>
      <c r="E366" s="34"/>
      <c r="F366" s="34"/>
      <c r="G366" s="30"/>
      <c r="I366" s="36"/>
      <c r="J366" s="36"/>
      <c r="K366" s="42"/>
    </row>
    <row r="367" ht="15.75" customHeight="1">
      <c r="A367" s="30"/>
      <c r="B367" s="60"/>
      <c r="C367" s="26"/>
      <c r="D367" s="34"/>
      <c r="E367" s="34"/>
      <c r="F367" s="34"/>
      <c r="G367" s="30"/>
      <c r="I367" s="36"/>
      <c r="J367" s="36"/>
      <c r="K367" s="42"/>
    </row>
    <row r="368" ht="15.75" customHeight="1">
      <c r="A368" s="30"/>
      <c r="B368" s="60"/>
      <c r="C368" s="26"/>
      <c r="D368" s="34"/>
      <c r="E368" s="34"/>
      <c r="F368" s="34"/>
      <c r="G368" s="30"/>
      <c r="I368" s="36"/>
      <c r="J368" s="36"/>
      <c r="K368" s="42"/>
    </row>
    <row r="369" ht="15.75" customHeight="1">
      <c r="A369" s="30"/>
      <c r="B369" s="60"/>
      <c r="C369" s="26"/>
      <c r="D369" s="34"/>
      <c r="E369" s="34"/>
      <c r="F369" s="34"/>
      <c r="G369" s="30"/>
      <c r="I369" s="36"/>
      <c r="J369" s="36"/>
      <c r="K369" s="42"/>
    </row>
    <row r="370" ht="15.75" customHeight="1">
      <c r="A370" s="30"/>
      <c r="B370" s="60"/>
      <c r="C370" s="26"/>
      <c r="D370" s="34"/>
      <c r="E370" s="34"/>
      <c r="F370" s="34"/>
      <c r="G370" s="30"/>
      <c r="I370" s="36"/>
      <c r="J370" s="36"/>
      <c r="K370" s="42"/>
    </row>
    <row r="371" ht="15.75" customHeight="1">
      <c r="A371" s="30"/>
      <c r="B371" s="60"/>
      <c r="C371" s="26"/>
      <c r="D371" s="34"/>
      <c r="E371" s="34"/>
      <c r="F371" s="34"/>
      <c r="G371" s="30"/>
      <c r="I371" s="36"/>
      <c r="J371" s="36"/>
      <c r="K371" s="42"/>
    </row>
    <row r="372" ht="15.75" customHeight="1">
      <c r="A372" s="30"/>
      <c r="B372" s="60"/>
      <c r="C372" s="26"/>
      <c r="D372" s="34"/>
      <c r="E372" s="34"/>
      <c r="F372" s="34"/>
      <c r="G372" s="30"/>
      <c r="I372" s="36"/>
      <c r="J372" s="36"/>
      <c r="K372" s="42"/>
    </row>
    <row r="373" ht="15.75" customHeight="1">
      <c r="A373" s="30"/>
      <c r="B373" s="60"/>
      <c r="C373" s="26"/>
      <c r="D373" s="34"/>
      <c r="E373" s="34"/>
      <c r="F373" s="34"/>
      <c r="G373" s="30"/>
      <c r="I373" s="36"/>
      <c r="J373" s="36"/>
      <c r="K373" s="42"/>
    </row>
    <row r="374" ht="15.75" customHeight="1">
      <c r="A374" s="30"/>
      <c r="B374" s="60"/>
      <c r="C374" s="26"/>
      <c r="D374" s="34"/>
      <c r="E374" s="34"/>
      <c r="F374" s="34"/>
      <c r="G374" s="30"/>
      <c r="I374" s="36"/>
      <c r="J374" s="36"/>
      <c r="K374" s="42"/>
    </row>
    <row r="375" ht="15.75" customHeight="1">
      <c r="A375" s="30"/>
      <c r="B375" s="60"/>
      <c r="C375" s="26"/>
      <c r="D375" s="34"/>
      <c r="E375" s="34"/>
      <c r="F375" s="34"/>
      <c r="G375" s="30"/>
      <c r="I375" s="36"/>
      <c r="J375" s="36"/>
      <c r="K375" s="42"/>
    </row>
    <row r="376" ht="15.75" customHeight="1">
      <c r="A376" s="30"/>
      <c r="B376" s="60"/>
      <c r="C376" s="26"/>
      <c r="D376" s="34"/>
      <c r="E376" s="34"/>
      <c r="F376" s="34"/>
      <c r="G376" s="30"/>
      <c r="I376" s="36"/>
      <c r="J376" s="36"/>
      <c r="K376" s="42"/>
    </row>
    <row r="377" ht="15.75" customHeight="1">
      <c r="A377" s="30"/>
      <c r="B377" s="60"/>
      <c r="C377" s="26"/>
      <c r="D377" s="34"/>
      <c r="E377" s="34"/>
      <c r="F377" s="34"/>
      <c r="G377" s="30"/>
      <c r="I377" s="36"/>
      <c r="J377" s="36"/>
      <c r="K377" s="42"/>
    </row>
    <row r="378" ht="15.75" customHeight="1">
      <c r="A378" s="30"/>
      <c r="B378" s="60"/>
      <c r="C378" s="26"/>
      <c r="D378" s="34"/>
      <c r="E378" s="34"/>
      <c r="F378" s="34"/>
      <c r="G378" s="30"/>
      <c r="I378" s="36"/>
      <c r="J378" s="36"/>
      <c r="K378" s="42"/>
    </row>
    <row r="379" ht="15.75" customHeight="1">
      <c r="A379" s="30"/>
      <c r="B379" s="60"/>
      <c r="C379" s="26"/>
      <c r="D379" s="34"/>
      <c r="E379" s="34"/>
      <c r="F379" s="34"/>
      <c r="G379" s="30"/>
      <c r="I379" s="36"/>
      <c r="J379" s="36"/>
      <c r="K379" s="42"/>
    </row>
    <row r="380" ht="15.75" customHeight="1">
      <c r="A380" s="30"/>
      <c r="B380" s="60"/>
      <c r="C380" s="26"/>
      <c r="D380" s="34"/>
      <c r="E380" s="34"/>
      <c r="F380" s="34"/>
      <c r="G380" s="30"/>
      <c r="I380" s="36"/>
      <c r="J380" s="36"/>
      <c r="K380" s="42"/>
    </row>
    <row r="381" ht="15.75" customHeight="1">
      <c r="A381" s="30"/>
      <c r="B381" s="60"/>
      <c r="C381" s="26"/>
      <c r="D381" s="34"/>
      <c r="E381" s="34"/>
      <c r="F381" s="34"/>
      <c r="G381" s="30"/>
      <c r="I381" s="36"/>
      <c r="J381" s="36"/>
      <c r="K381" s="42"/>
    </row>
    <row r="382" ht="15.75" customHeight="1">
      <c r="A382" s="30"/>
      <c r="B382" s="60"/>
      <c r="C382" s="26"/>
      <c r="D382" s="34"/>
      <c r="E382" s="34"/>
      <c r="F382" s="34"/>
      <c r="G382" s="30"/>
      <c r="I382" s="36"/>
      <c r="J382" s="36"/>
      <c r="K382" s="42"/>
    </row>
    <row r="383" ht="15.75" customHeight="1">
      <c r="A383" s="30"/>
      <c r="B383" s="60"/>
      <c r="C383" s="26"/>
      <c r="D383" s="34"/>
      <c r="E383" s="34"/>
      <c r="F383" s="34"/>
      <c r="G383" s="30"/>
      <c r="I383" s="36"/>
      <c r="J383" s="36"/>
      <c r="K383" s="42"/>
    </row>
    <row r="384" ht="15.75" customHeight="1">
      <c r="A384" s="30"/>
      <c r="B384" s="60"/>
      <c r="C384" s="26"/>
      <c r="D384" s="34"/>
      <c r="E384" s="34"/>
      <c r="F384" s="34"/>
      <c r="G384" s="30"/>
      <c r="I384" s="36"/>
      <c r="J384" s="36"/>
      <c r="K384" s="42"/>
    </row>
    <row r="385" ht="15.75" customHeight="1">
      <c r="A385" s="30"/>
      <c r="B385" s="60"/>
      <c r="C385" s="26"/>
      <c r="D385" s="34"/>
      <c r="E385" s="34"/>
      <c r="F385" s="34"/>
      <c r="G385" s="30"/>
      <c r="I385" s="36"/>
      <c r="J385" s="36"/>
      <c r="K385" s="42"/>
    </row>
    <row r="386" ht="15.75" customHeight="1">
      <c r="A386" s="30"/>
      <c r="B386" s="60"/>
      <c r="C386" s="26"/>
      <c r="D386" s="34"/>
      <c r="E386" s="34"/>
      <c r="F386" s="34"/>
      <c r="G386" s="30"/>
      <c r="I386" s="36"/>
      <c r="J386" s="36"/>
      <c r="K386" s="42"/>
    </row>
    <row r="387" ht="15.75" customHeight="1">
      <c r="A387" s="30"/>
      <c r="B387" s="60"/>
      <c r="C387" s="26"/>
      <c r="D387" s="34"/>
      <c r="E387" s="34"/>
      <c r="F387" s="34"/>
      <c r="G387" s="30"/>
      <c r="I387" s="36"/>
      <c r="J387" s="36"/>
      <c r="K387" s="42"/>
    </row>
    <row r="388" ht="15.75" customHeight="1">
      <c r="A388" s="30"/>
      <c r="B388" s="60"/>
      <c r="C388" s="26"/>
      <c r="D388" s="34"/>
      <c r="E388" s="34"/>
      <c r="F388" s="34"/>
      <c r="G388" s="30"/>
      <c r="I388" s="36"/>
      <c r="J388" s="36"/>
      <c r="K388" s="42"/>
    </row>
    <row r="389" ht="15.75" customHeight="1">
      <c r="A389" s="30"/>
      <c r="B389" s="60"/>
      <c r="C389" s="26"/>
      <c r="D389" s="34"/>
      <c r="E389" s="34"/>
      <c r="F389" s="34"/>
      <c r="G389" s="30"/>
      <c r="I389" s="36"/>
      <c r="J389" s="36"/>
      <c r="K389" s="42"/>
    </row>
    <row r="390" ht="15.75" customHeight="1">
      <c r="A390" s="30"/>
      <c r="B390" s="60"/>
      <c r="C390" s="26"/>
      <c r="D390" s="34"/>
      <c r="E390" s="34"/>
      <c r="F390" s="34"/>
      <c r="G390" s="30"/>
      <c r="I390" s="36"/>
      <c r="J390" s="36"/>
      <c r="K390" s="42"/>
    </row>
    <row r="391" ht="15.75" customHeight="1">
      <c r="A391" s="30"/>
      <c r="B391" s="60"/>
      <c r="C391" s="26"/>
      <c r="D391" s="34"/>
      <c r="E391" s="34"/>
      <c r="F391" s="34"/>
      <c r="G391" s="30"/>
      <c r="I391" s="36"/>
      <c r="J391" s="36"/>
      <c r="K391" s="42"/>
    </row>
    <row r="392" ht="15.75" customHeight="1">
      <c r="A392" s="30"/>
      <c r="B392" s="60"/>
      <c r="C392" s="26"/>
      <c r="D392" s="34"/>
      <c r="E392" s="34"/>
      <c r="F392" s="34"/>
      <c r="G392" s="30"/>
      <c r="I392" s="36"/>
      <c r="J392" s="36"/>
      <c r="K392" s="42"/>
    </row>
    <row r="393" ht="15.75" customHeight="1">
      <c r="A393" s="30"/>
      <c r="B393" s="60"/>
      <c r="C393" s="26"/>
      <c r="D393" s="34"/>
      <c r="E393" s="34"/>
      <c r="F393" s="34"/>
      <c r="G393" s="30"/>
      <c r="I393" s="36"/>
      <c r="J393" s="36"/>
      <c r="K393" s="42"/>
    </row>
    <row r="394" ht="15.75" customHeight="1">
      <c r="A394" s="30"/>
      <c r="B394" s="60"/>
      <c r="C394" s="26"/>
      <c r="D394" s="34"/>
      <c r="E394" s="34"/>
      <c r="F394" s="34"/>
      <c r="G394" s="30"/>
      <c r="I394" s="36"/>
      <c r="J394" s="36"/>
      <c r="K394" s="42"/>
    </row>
    <row r="395" ht="15.75" customHeight="1">
      <c r="A395" s="30"/>
      <c r="B395" s="60"/>
      <c r="C395" s="26"/>
      <c r="D395" s="34"/>
      <c r="E395" s="34"/>
      <c r="F395" s="34"/>
      <c r="G395" s="30"/>
      <c r="I395" s="36"/>
      <c r="J395" s="36"/>
      <c r="K395" s="42"/>
    </row>
    <row r="396" ht="15.75" customHeight="1">
      <c r="A396" s="30"/>
      <c r="B396" s="60"/>
      <c r="C396" s="26"/>
      <c r="D396" s="34"/>
      <c r="E396" s="34"/>
      <c r="F396" s="34"/>
      <c r="G396" s="30"/>
      <c r="I396" s="36"/>
      <c r="J396" s="36"/>
      <c r="K396" s="42"/>
    </row>
    <row r="397" ht="15.75" customHeight="1">
      <c r="A397" s="30"/>
      <c r="B397" s="60"/>
      <c r="C397" s="26"/>
      <c r="D397" s="34"/>
      <c r="E397" s="34"/>
      <c r="F397" s="34"/>
      <c r="G397" s="30"/>
      <c r="I397" s="36"/>
      <c r="J397" s="36"/>
      <c r="K397" s="42"/>
    </row>
    <row r="398" ht="15.75" customHeight="1">
      <c r="A398" s="30"/>
      <c r="B398" s="60"/>
      <c r="C398" s="26"/>
      <c r="D398" s="34"/>
      <c r="E398" s="34"/>
      <c r="F398" s="34"/>
      <c r="G398" s="30"/>
      <c r="I398" s="36"/>
      <c r="J398" s="36"/>
      <c r="K398" s="42"/>
    </row>
    <row r="399" ht="15.75" customHeight="1">
      <c r="A399" s="30"/>
      <c r="B399" s="60"/>
      <c r="C399" s="26"/>
      <c r="D399" s="34"/>
      <c r="E399" s="34"/>
      <c r="F399" s="34"/>
      <c r="G399" s="30"/>
      <c r="I399" s="36"/>
      <c r="J399" s="36"/>
      <c r="K399" s="42"/>
    </row>
    <row r="400" ht="15.75" customHeight="1">
      <c r="A400" s="30"/>
      <c r="B400" s="60"/>
      <c r="C400" s="26"/>
      <c r="D400" s="34"/>
      <c r="E400" s="34"/>
      <c r="F400" s="34"/>
      <c r="G400" s="30"/>
      <c r="I400" s="36"/>
      <c r="J400" s="36"/>
      <c r="K400" s="42"/>
    </row>
    <row r="401" ht="15.75" customHeight="1">
      <c r="A401" s="30"/>
      <c r="B401" s="60"/>
      <c r="C401" s="26"/>
      <c r="D401" s="34"/>
      <c r="E401" s="34"/>
      <c r="F401" s="34"/>
      <c r="G401" s="30"/>
      <c r="I401" s="36"/>
      <c r="J401" s="36"/>
      <c r="K401" s="42"/>
    </row>
    <row r="402" ht="15.75" customHeight="1">
      <c r="A402" s="30"/>
      <c r="B402" s="60"/>
      <c r="C402" s="26"/>
      <c r="D402" s="34"/>
      <c r="E402" s="34"/>
      <c r="F402" s="34"/>
      <c r="G402" s="30"/>
      <c r="I402" s="36"/>
      <c r="J402" s="36"/>
      <c r="K402" s="42"/>
    </row>
    <row r="403" ht="15.75" customHeight="1">
      <c r="A403" s="30"/>
      <c r="B403" s="60"/>
      <c r="C403" s="26"/>
      <c r="D403" s="34"/>
      <c r="E403" s="34"/>
      <c r="F403" s="34"/>
      <c r="G403" s="30"/>
      <c r="I403" s="36"/>
      <c r="J403" s="36"/>
      <c r="K403" s="42"/>
    </row>
    <row r="404" ht="15.75" customHeight="1">
      <c r="A404" s="30"/>
      <c r="B404" s="60"/>
      <c r="C404" s="26"/>
      <c r="D404" s="34"/>
      <c r="E404" s="34"/>
      <c r="F404" s="34"/>
      <c r="G404" s="30"/>
      <c r="I404" s="36"/>
      <c r="J404" s="36"/>
      <c r="K404" s="42"/>
    </row>
    <row r="405" ht="15.75" customHeight="1">
      <c r="A405" s="30"/>
      <c r="B405" s="60"/>
      <c r="C405" s="26"/>
      <c r="D405" s="34"/>
      <c r="E405" s="34"/>
      <c r="F405" s="34"/>
      <c r="G405" s="30"/>
      <c r="I405" s="36"/>
      <c r="J405" s="36"/>
      <c r="K405" s="42"/>
    </row>
    <row r="406" ht="15.75" customHeight="1">
      <c r="A406" s="30"/>
      <c r="B406" s="60"/>
      <c r="C406" s="26"/>
      <c r="D406" s="34"/>
      <c r="E406" s="34"/>
      <c r="F406" s="34"/>
      <c r="G406" s="30"/>
      <c r="I406" s="36"/>
      <c r="J406" s="36"/>
      <c r="K406" s="42"/>
    </row>
    <row r="407" ht="15.75" customHeight="1">
      <c r="A407" s="30"/>
      <c r="B407" s="60"/>
      <c r="C407" s="26"/>
      <c r="D407" s="34"/>
      <c r="E407" s="34"/>
      <c r="F407" s="34"/>
      <c r="G407" s="30"/>
      <c r="I407" s="36"/>
      <c r="J407" s="36"/>
      <c r="K407" s="42"/>
    </row>
    <row r="408" ht="15.75" customHeight="1">
      <c r="A408" s="30"/>
      <c r="B408" s="60"/>
      <c r="C408" s="26"/>
      <c r="D408" s="34"/>
      <c r="E408" s="34"/>
      <c r="F408" s="34"/>
      <c r="G408" s="30"/>
      <c r="I408" s="36"/>
      <c r="J408" s="36"/>
      <c r="K408" s="42"/>
    </row>
    <row r="409" ht="15.75" customHeight="1">
      <c r="A409" s="30"/>
      <c r="B409" s="60"/>
      <c r="C409" s="26"/>
      <c r="D409" s="34"/>
      <c r="E409" s="34"/>
      <c r="F409" s="34"/>
      <c r="G409" s="30"/>
      <c r="I409" s="36"/>
      <c r="J409" s="36"/>
      <c r="K409" s="42"/>
    </row>
    <row r="410" ht="15.75" customHeight="1">
      <c r="A410" s="30"/>
      <c r="B410" s="60"/>
      <c r="C410" s="26"/>
      <c r="D410" s="34"/>
      <c r="E410" s="34"/>
      <c r="F410" s="34"/>
      <c r="G410" s="30"/>
      <c r="I410" s="36"/>
      <c r="J410" s="36"/>
      <c r="K410" s="42"/>
    </row>
    <row r="411" ht="15.75" customHeight="1">
      <c r="A411" s="30"/>
      <c r="B411" s="60"/>
      <c r="C411" s="26"/>
      <c r="D411" s="34"/>
      <c r="E411" s="34"/>
      <c r="F411" s="34"/>
      <c r="G411" s="30"/>
      <c r="I411" s="36"/>
      <c r="J411" s="36"/>
      <c r="K411" s="42"/>
    </row>
    <row r="412" ht="15.75" customHeight="1">
      <c r="A412" s="30"/>
      <c r="B412" s="60"/>
      <c r="C412" s="26"/>
      <c r="D412" s="34"/>
      <c r="E412" s="34"/>
      <c r="F412" s="34"/>
      <c r="G412" s="30"/>
      <c r="I412" s="36"/>
      <c r="J412" s="36"/>
      <c r="K412" s="42"/>
    </row>
    <row r="413" ht="15.75" customHeight="1">
      <c r="A413" s="30"/>
      <c r="B413" s="60"/>
      <c r="C413" s="26"/>
      <c r="D413" s="34"/>
      <c r="E413" s="34"/>
      <c r="F413" s="34"/>
      <c r="G413" s="30"/>
      <c r="I413" s="36"/>
      <c r="J413" s="36"/>
      <c r="K413" s="42"/>
    </row>
    <row r="414" ht="15.75" customHeight="1">
      <c r="A414" s="30"/>
      <c r="B414" s="60"/>
      <c r="C414" s="26"/>
      <c r="D414" s="34"/>
      <c r="E414" s="34"/>
      <c r="F414" s="34"/>
      <c r="G414" s="30"/>
      <c r="I414" s="36"/>
      <c r="J414" s="36"/>
      <c r="K414" s="42"/>
    </row>
    <row r="415" ht="15.75" customHeight="1">
      <c r="A415" s="30"/>
      <c r="B415" s="60"/>
      <c r="C415" s="26"/>
      <c r="D415" s="34"/>
      <c r="E415" s="34"/>
      <c r="F415" s="34"/>
      <c r="G415" s="30"/>
      <c r="I415" s="36"/>
      <c r="J415" s="36"/>
      <c r="K415" s="42"/>
    </row>
    <row r="416" ht="15.75" customHeight="1">
      <c r="A416" s="30"/>
      <c r="B416" s="60"/>
      <c r="C416" s="26"/>
      <c r="D416" s="34"/>
      <c r="E416" s="34"/>
      <c r="F416" s="34"/>
      <c r="G416" s="30"/>
      <c r="I416" s="36"/>
      <c r="J416" s="36"/>
      <c r="K416" s="42"/>
    </row>
    <row r="417" ht="15.75" customHeight="1">
      <c r="A417" s="30"/>
      <c r="B417" s="60"/>
      <c r="C417" s="26"/>
      <c r="D417" s="34"/>
      <c r="E417" s="34"/>
      <c r="F417" s="34"/>
      <c r="G417" s="30"/>
      <c r="I417" s="36"/>
      <c r="J417" s="36"/>
      <c r="K417" s="42"/>
    </row>
    <row r="418" ht="15.75" customHeight="1">
      <c r="A418" s="30"/>
      <c r="B418" s="60"/>
      <c r="C418" s="26"/>
      <c r="D418" s="34"/>
      <c r="E418" s="34"/>
      <c r="F418" s="34"/>
      <c r="G418" s="30"/>
      <c r="I418" s="36"/>
      <c r="J418" s="36"/>
      <c r="K418" s="42"/>
    </row>
    <row r="419" ht="15.75" customHeight="1">
      <c r="A419" s="30"/>
      <c r="B419" s="60"/>
      <c r="C419" s="26"/>
      <c r="D419" s="34"/>
      <c r="E419" s="34"/>
      <c r="F419" s="34"/>
      <c r="G419" s="30"/>
      <c r="I419" s="36"/>
      <c r="J419" s="36"/>
      <c r="K419" s="42"/>
    </row>
    <row r="420" ht="15.75" customHeight="1">
      <c r="A420" s="30"/>
      <c r="B420" s="60"/>
      <c r="C420" s="26"/>
      <c r="D420" s="34"/>
      <c r="E420" s="34"/>
      <c r="F420" s="34"/>
      <c r="G420" s="30"/>
      <c r="I420" s="36"/>
      <c r="J420" s="36"/>
      <c r="K420" s="42"/>
    </row>
    <row r="421" ht="15.75" customHeight="1">
      <c r="A421" s="30"/>
      <c r="B421" s="60"/>
      <c r="C421" s="26"/>
      <c r="D421" s="34"/>
      <c r="E421" s="34"/>
      <c r="F421" s="34"/>
      <c r="G421" s="30"/>
      <c r="I421" s="36"/>
      <c r="J421" s="36"/>
      <c r="K421" s="42"/>
    </row>
    <row r="422" ht="15.75" customHeight="1">
      <c r="A422" s="30"/>
      <c r="B422" s="60"/>
      <c r="C422" s="26"/>
      <c r="D422" s="34"/>
      <c r="E422" s="34"/>
      <c r="F422" s="34"/>
      <c r="G422" s="30"/>
      <c r="I422" s="36"/>
      <c r="J422" s="36"/>
      <c r="K422" s="42"/>
    </row>
    <row r="423" ht="15.75" customHeight="1">
      <c r="A423" s="30"/>
      <c r="B423" s="60"/>
      <c r="C423" s="26"/>
      <c r="D423" s="34"/>
      <c r="E423" s="34"/>
      <c r="F423" s="34"/>
      <c r="G423" s="30"/>
      <c r="I423" s="36"/>
      <c r="J423" s="36"/>
      <c r="K423" s="42"/>
    </row>
    <row r="424" ht="15.75" customHeight="1">
      <c r="A424" s="30"/>
      <c r="B424" s="60"/>
      <c r="C424" s="26"/>
      <c r="D424" s="34"/>
      <c r="E424" s="34"/>
      <c r="F424" s="34"/>
      <c r="G424" s="30"/>
      <c r="I424" s="36"/>
      <c r="J424" s="36"/>
      <c r="K424" s="42"/>
    </row>
    <row r="425" ht="15.75" customHeight="1">
      <c r="A425" s="30"/>
      <c r="B425" s="60"/>
      <c r="C425" s="26"/>
      <c r="D425" s="34"/>
      <c r="E425" s="34"/>
      <c r="F425" s="34"/>
      <c r="G425" s="30"/>
      <c r="I425" s="36"/>
      <c r="J425" s="36"/>
      <c r="K425" s="42"/>
    </row>
    <row r="426" ht="15.75" customHeight="1">
      <c r="A426" s="30"/>
      <c r="B426" s="60"/>
      <c r="C426" s="26"/>
      <c r="D426" s="34"/>
      <c r="E426" s="34"/>
      <c r="F426" s="34"/>
      <c r="G426" s="30"/>
      <c r="I426" s="36"/>
      <c r="J426" s="36"/>
      <c r="K426" s="42"/>
    </row>
    <row r="427" ht="15.75" customHeight="1">
      <c r="A427" s="30"/>
      <c r="B427" s="60"/>
      <c r="C427" s="26"/>
      <c r="D427" s="34"/>
      <c r="E427" s="34"/>
      <c r="F427" s="34"/>
      <c r="G427" s="30"/>
      <c r="I427" s="36"/>
      <c r="J427" s="36"/>
      <c r="K427" s="42"/>
    </row>
    <row r="428" ht="15.75" customHeight="1">
      <c r="A428" s="30"/>
      <c r="B428" s="60"/>
      <c r="C428" s="26"/>
      <c r="D428" s="34"/>
      <c r="E428" s="34"/>
      <c r="F428" s="34"/>
      <c r="G428" s="30"/>
      <c r="I428" s="36"/>
      <c r="J428" s="36"/>
      <c r="K428" s="42"/>
    </row>
    <row r="429" ht="15.75" customHeight="1">
      <c r="A429" s="30"/>
      <c r="B429" s="60"/>
      <c r="C429" s="26"/>
      <c r="D429" s="34"/>
      <c r="E429" s="34"/>
      <c r="F429" s="34"/>
      <c r="G429" s="30"/>
      <c r="I429" s="36"/>
      <c r="J429" s="36"/>
      <c r="K429" s="42"/>
    </row>
    <row r="430" ht="15.75" customHeight="1">
      <c r="A430" s="30"/>
      <c r="B430" s="60"/>
      <c r="C430" s="26"/>
      <c r="D430" s="34"/>
      <c r="E430" s="34"/>
      <c r="F430" s="34"/>
      <c r="G430" s="30"/>
      <c r="I430" s="36"/>
      <c r="J430" s="36"/>
      <c r="K430" s="42"/>
    </row>
    <row r="431" ht="15.75" customHeight="1">
      <c r="A431" s="30"/>
      <c r="B431" s="60"/>
      <c r="C431" s="26"/>
      <c r="D431" s="34"/>
      <c r="E431" s="34"/>
      <c r="F431" s="34"/>
      <c r="G431" s="30"/>
      <c r="I431" s="36"/>
      <c r="J431" s="36"/>
      <c r="K431" s="42"/>
    </row>
    <row r="432" ht="15.75" customHeight="1">
      <c r="A432" s="30"/>
      <c r="B432" s="60"/>
      <c r="C432" s="26"/>
      <c r="D432" s="34"/>
      <c r="E432" s="34"/>
      <c r="F432" s="34"/>
      <c r="G432" s="30"/>
      <c r="I432" s="36"/>
      <c r="J432" s="36"/>
      <c r="K432" s="42"/>
    </row>
    <row r="433" ht="15.75" customHeight="1">
      <c r="A433" s="30"/>
      <c r="B433" s="60"/>
      <c r="C433" s="26"/>
      <c r="D433" s="34"/>
      <c r="E433" s="34"/>
      <c r="F433" s="34"/>
      <c r="G433" s="30"/>
      <c r="I433" s="36"/>
      <c r="J433" s="36"/>
      <c r="K433" s="42"/>
    </row>
    <row r="434" ht="15.75" customHeight="1">
      <c r="A434" s="30"/>
      <c r="B434" s="60"/>
      <c r="C434" s="26"/>
      <c r="D434" s="34"/>
      <c r="E434" s="34"/>
      <c r="F434" s="34"/>
      <c r="G434" s="30"/>
      <c r="I434" s="36"/>
      <c r="J434" s="36"/>
      <c r="K434" s="42"/>
    </row>
    <row r="435" ht="15.75" customHeight="1">
      <c r="A435" s="30"/>
      <c r="B435" s="60"/>
      <c r="C435" s="26"/>
      <c r="D435" s="34"/>
      <c r="E435" s="34"/>
      <c r="F435" s="34"/>
      <c r="G435" s="30"/>
      <c r="I435" s="36"/>
      <c r="J435" s="36"/>
      <c r="K435" s="42"/>
    </row>
    <row r="436" ht="15.75" customHeight="1">
      <c r="A436" s="30"/>
      <c r="B436" s="60"/>
      <c r="C436" s="26"/>
      <c r="D436" s="34"/>
      <c r="E436" s="34"/>
      <c r="F436" s="34"/>
      <c r="G436" s="30"/>
      <c r="I436" s="36"/>
      <c r="J436" s="36"/>
      <c r="K436" s="42"/>
    </row>
    <row r="437" ht="15.75" customHeight="1">
      <c r="A437" s="30"/>
      <c r="B437" s="60"/>
      <c r="C437" s="26"/>
      <c r="D437" s="34"/>
      <c r="E437" s="34"/>
      <c r="F437" s="34"/>
      <c r="G437" s="30"/>
      <c r="I437" s="36"/>
      <c r="J437" s="36"/>
      <c r="K437" s="42"/>
    </row>
    <row r="438" ht="15.75" customHeight="1">
      <c r="A438" s="30"/>
      <c r="B438" s="60"/>
      <c r="C438" s="26"/>
      <c r="D438" s="34"/>
      <c r="E438" s="34"/>
      <c r="F438" s="34"/>
      <c r="G438" s="30"/>
      <c r="I438" s="36"/>
      <c r="J438" s="36"/>
      <c r="K438" s="42"/>
    </row>
    <row r="439" ht="15.75" customHeight="1">
      <c r="A439" s="30"/>
      <c r="B439" s="60"/>
      <c r="C439" s="26"/>
      <c r="D439" s="34"/>
      <c r="E439" s="34"/>
      <c r="F439" s="34"/>
      <c r="G439" s="30"/>
      <c r="I439" s="36"/>
      <c r="J439" s="36"/>
      <c r="K439" s="42"/>
    </row>
    <row r="440" ht="15.75" customHeight="1">
      <c r="A440" s="30"/>
      <c r="B440" s="60"/>
      <c r="C440" s="26"/>
      <c r="D440" s="34"/>
      <c r="E440" s="34"/>
      <c r="F440" s="34"/>
      <c r="G440" s="30"/>
      <c r="I440" s="36"/>
      <c r="J440" s="36"/>
      <c r="K440" s="42"/>
    </row>
    <row r="441" ht="15.75" customHeight="1">
      <c r="A441" s="30"/>
      <c r="B441" s="60"/>
      <c r="C441" s="26"/>
      <c r="D441" s="34"/>
      <c r="E441" s="34"/>
      <c r="F441" s="34"/>
      <c r="G441" s="30"/>
      <c r="I441" s="36"/>
      <c r="J441" s="36"/>
      <c r="K441" s="42"/>
    </row>
    <row r="442" ht="15.75" customHeight="1">
      <c r="A442" s="30"/>
      <c r="B442" s="60"/>
      <c r="C442" s="26"/>
      <c r="D442" s="34"/>
      <c r="E442" s="34"/>
      <c r="F442" s="34"/>
      <c r="G442" s="30"/>
      <c r="I442" s="36"/>
      <c r="J442" s="36"/>
      <c r="K442" s="42"/>
    </row>
    <row r="443" ht="15.75" customHeight="1">
      <c r="A443" s="30"/>
      <c r="B443" s="60"/>
      <c r="C443" s="26"/>
      <c r="D443" s="34"/>
      <c r="E443" s="34"/>
      <c r="F443" s="34"/>
      <c r="G443" s="30"/>
      <c r="I443" s="36"/>
      <c r="J443" s="36"/>
      <c r="K443" s="42"/>
    </row>
    <row r="444" ht="15.75" customHeight="1">
      <c r="A444" s="30"/>
      <c r="B444" s="60"/>
      <c r="C444" s="26"/>
      <c r="D444" s="34"/>
      <c r="E444" s="34"/>
      <c r="F444" s="34"/>
      <c r="G444" s="30"/>
      <c r="I444" s="36"/>
      <c r="J444" s="36"/>
      <c r="K444" s="42"/>
    </row>
    <row r="445" ht="15.75" customHeight="1">
      <c r="A445" s="30"/>
      <c r="B445" s="60"/>
      <c r="C445" s="26"/>
      <c r="D445" s="34"/>
      <c r="E445" s="34"/>
      <c r="F445" s="34"/>
      <c r="G445" s="30"/>
      <c r="I445" s="36"/>
      <c r="J445" s="36"/>
      <c r="K445" s="42"/>
    </row>
    <row r="446" ht="15.75" customHeight="1">
      <c r="A446" s="30"/>
      <c r="B446" s="60"/>
      <c r="C446" s="26"/>
      <c r="D446" s="34"/>
      <c r="E446" s="34"/>
      <c r="F446" s="34"/>
      <c r="G446" s="30"/>
      <c r="I446" s="36"/>
      <c r="J446" s="36"/>
      <c r="K446" s="42"/>
    </row>
    <row r="447" ht="15.75" customHeight="1">
      <c r="A447" s="30"/>
      <c r="B447" s="60"/>
      <c r="C447" s="26"/>
      <c r="D447" s="34"/>
      <c r="E447" s="34"/>
      <c r="F447" s="34"/>
      <c r="G447" s="30"/>
      <c r="I447" s="36"/>
      <c r="J447" s="36"/>
      <c r="K447" s="42"/>
    </row>
    <row r="448" ht="15.75" customHeight="1">
      <c r="A448" s="30"/>
      <c r="B448" s="60"/>
      <c r="C448" s="26"/>
      <c r="D448" s="34"/>
      <c r="E448" s="34"/>
      <c r="F448" s="34"/>
      <c r="G448" s="30"/>
      <c r="I448" s="36"/>
      <c r="J448" s="36"/>
      <c r="K448" s="42"/>
    </row>
    <row r="449" ht="15.75" customHeight="1">
      <c r="A449" s="30"/>
      <c r="B449" s="60"/>
      <c r="C449" s="26"/>
      <c r="D449" s="34"/>
      <c r="E449" s="34"/>
      <c r="F449" s="34"/>
      <c r="G449" s="30"/>
      <c r="I449" s="36"/>
      <c r="J449" s="36"/>
      <c r="K449" s="42"/>
    </row>
    <row r="450" ht="15.75" customHeight="1">
      <c r="A450" s="30"/>
      <c r="B450" s="60"/>
      <c r="C450" s="26"/>
      <c r="D450" s="34"/>
      <c r="E450" s="34"/>
      <c r="F450" s="34"/>
      <c r="G450" s="30"/>
      <c r="I450" s="36"/>
      <c r="J450" s="36"/>
      <c r="K450" s="42"/>
    </row>
    <row r="451" ht="15.75" customHeight="1">
      <c r="A451" s="30"/>
      <c r="B451" s="60"/>
      <c r="C451" s="26"/>
      <c r="D451" s="34"/>
      <c r="E451" s="34"/>
      <c r="F451" s="34"/>
      <c r="G451" s="30"/>
      <c r="I451" s="36"/>
      <c r="J451" s="36"/>
      <c r="K451" s="42"/>
    </row>
    <row r="452" ht="15.75" customHeight="1">
      <c r="A452" s="30"/>
      <c r="B452" s="60"/>
      <c r="C452" s="26"/>
      <c r="D452" s="34"/>
      <c r="E452" s="34"/>
      <c r="F452" s="34"/>
      <c r="G452" s="30"/>
      <c r="I452" s="36"/>
      <c r="J452" s="36"/>
      <c r="K452" s="42"/>
    </row>
    <row r="453" ht="15.75" customHeight="1">
      <c r="A453" s="30"/>
      <c r="B453" s="60"/>
      <c r="C453" s="26"/>
      <c r="D453" s="34"/>
      <c r="E453" s="34"/>
      <c r="F453" s="34"/>
      <c r="G453" s="30"/>
      <c r="I453" s="36"/>
      <c r="J453" s="36"/>
      <c r="K453" s="42"/>
    </row>
    <row r="454" ht="15.75" customHeight="1">
      <c r="A454" s="30"/>
      <c r="B454" s="60"/>
      <c r="C454" s="26"/>
      <c r="D454" s="34"/>
      <c r="E454" s="34"/>
      <c r="F454" s="34"/>
      <c r="G454" s="30"/>
      <c r="I454" s="36"/>
      <c r="J454" s="36"/>
      <c r="K454" s="42"/>
    </row>
    <row r="455" ht="15.75" customHeight="1">
      <c r="A455" s="30"/>
      <c r="B455" s="60"/>
      <c r="C455" s="26"/>
      <c r="D455" s="34"/>
      <c r="E455" s="34"/>
      <c r="F455" s="34"/>
      <c r="G455" s="30"/>
      <c r="I455" s="36"/>
      <c r="J455" s="36"/>
      <c r="K455" s="42"/>
    </row>
    <row r="456" ht="15.75" customHeight="1">
      <c r="A456" s="30"/>
      <c r="B456" s="60"/>
      <c r="C456" s="26"/>
      <c r="D456" s="34"/>
      <c r="E456" s="34"/>
      <c r="F456" s="34"/>
      <c r="G456" s="30"/>
      <c r="I456" s="36"/>
      <c r="J456" s="36"/>
      <c r="K456" s="42"/>
    </row>
    <row r="457" ht="15.75" customHeight="1">
      <c r="A457" s="30"/>
      <c r="B457" s="60"/>
      <c r="C457" s="26"/>
      <c r="D457" s="34"/>
      <c r="E457" s="34"/>
      <c r="F457" s="34"/>
      <c r="G457" s="30"/>
      <c r="I457" s="36"/>
      <c r="J457" s="36"/>
      <c r="K457" s="42"/>
    </row>
    <row r="458" ht="15.75" customHeight="1">
      <c r="A458" s="30"/>
      <c r="B458" s="60"/>
      <c r="C458" s="26"/>
      <c r="D458" s="34"/>
      <c r="E458" s="34"/>
      <c r="F458" s="34"/>
      <c r="G458" s="30"/>
      <c r="I458" s="36"/>
      <c r="J458" s="36"/>
      <c r="K458" s="42"/>
    </row>
    <row r="459" ht="15.75" customHeight="1">
      <c r="A459" s="30"/>
      <c r="B459" s="60"/>
      <c r="C459" s="26"/>
      <c r="D459" s="34"/>
      <c r="E459" s="34"/>
      <c r="F459" s="34"/>
      <c r="G459" s="30"/>
      <c r="I459" s="36"/>
      <c r="J459" s="36"/>
      <c r="K459" s="42"/>
    </row>
    <row r="460" ht="15.75" customHeight="1">
      <c r="A460" s="30"/>
      <c r="B460" s="60"/>
      <c r="C460" s="26"/>
      <c r="D460" s="34"/>
      <c r="E460" s="34"/>
      <c r="F460" s="34"/>
      <c r="G460" s="30"/>
      <c r="I460" s="36"/>
      <c r="J460" s="36"/>
      <c r="K460" s="42"/>
    </row>
    <row r="461" ht="15.75" customHeight="1">
      <c r="A461" s="30"/>
      <c r="B461" s="60"/>
      <c r="C461" s="26"/>
      <c r="D461" s="34"/>
      <c r="E461" s="34"/>
      <c r="F461" s="34"/>
      <c r="G461" s="30"/>
      <c r="I461" s="36"/>
      <c r="J461" s="36"/>
      <c r="K461" s="42"/>
    </row>
    <row r="462" ht="15.75" customHeight="1">
      <c r="A462" s="30"/>
      <c r="B462" s="60"/>
      <c r="C462" s="26"/>
      <c r="D462" s="34"/>
      <c r="E462" s="34"/>
      <c r="F462" s="34"/>
      <c r="G462" s="30"/>
      <c r="I462" s="36"/>
      <c r="J462" s="36"/>
      <c r="K462" s="42"/>
    </row>
    <row r="463" ht="15.75" customHeight="1">
      <c r="A463" s="30"/>
      <c r="B463" s="60"/>
      <c r="C463" s="26"/>
      <c r="D463" s="34"/>
      <c r="E463" s="34"/>
      <c r="F463" s="34"/>
      <c r="G463" s="30"/>
      <c r="I463" s="36"/>
      <c r="J463" s="36"/>
      <c r="K463" s="42"/>
    </row>
    <row r="464" ht="15.75" customHeight="1">
      <c r="A464" s="30"/>
      <c r="B464" s="60"/>
      <c r="C464" s="26"/>
      <c r="D464" s="34"/>
      <c r="E464" s="34"/>
      <c r="F464" s="34"/>
      <c r="G464" s="30"/>
      <c r="I464" s="36"/>
      <c r="J464" s="36"/>
      <c r="K464" s="42"/>
    </row>
    <row r="465" ht="15.75" customHeight="1">
      <c r="A465" s="30"/>
      <c r="B465" s="60"/>
      <c r="C465" s="26"/>
      <c r="D465" s="34"/>
      <c r="E465" s="34"/>
      <c r="F465" s="34"/>
      <c r="G465" s="30"/>
      <c r="I465" s="36"/>
      <c r="J465" s="36"/>
      <c r="K465" s="42"/>
    </row>
    <row r="466" ht="15.75" customHeight="1">
      <c r="A466" s="30"/>
      <c r="B466" s="60"/>
      <c r="C466" s="26"/>
      <c r="D466" s="34"/>
      <c r="E466" s="34"/>
      <c r="F466" s="34"/>
      <c r="G466" s="30"/>
      <c r="I466" s="36"/>
      <c r="J466" s="36"/>
      <c r="K466" s="42"/>
    </row>
    <row r="467" ht="15.75" customHeight="1">
      <c r="A467" s="30"/>
      <c r="B467" s="60"/>
      <c r="C467" s="26"/>
      <c r="D467" s="34"/>
      <c r="E467" s="34"/>
      <c r="F467" s="34"/>
      <c r="G467" s="30"/>
      <c r="I467" s="36"/>
      <c r="J467" s="36"/>
      <c r="K467" s="42"/>
    </row>
    <row r="468" ht="15.75" customHeight="1">
      <c r="A468" s="30"/>
      <c r="B468" s="60"/>
      <c r="C468" s="26"/>
      <c r="D468" s="34"/>
      <c r="E468" s="34"/>
      <c r="F468" s="34"/>
      <c r="G468" s="30"/>
      <c r="I468" s="36"/>
      <c r="J468" s="36"/>
      <c r="K468" s="42"/>
    </row>
    <row r="469" ht="15.75" customHeight="1">
      <c r="A469" s="30"/>
      <c r="B469" s="60"/>
      <c r="C469" s="26"/>
      <c r="D469" s="34"/>
      <c r="E469" s="34"/>
      <c r="F469" s="34"/>
      <c r="G469" s="30"/>
      <c r="I469" s="36"/>
      <c r="J469" s="36"/>
      <c r="K469" s="42"/>
    </row>
    <row r="470" ht="15.75" customHeight="1">
      <c r="A470" s="30"/>
      <c r="B470" s="60"/>
      <c r="C470" s="26"/>
      <c r="D470" s="34"/>
      <c r="E470" s="34"/>
      <c r="F470" s="34"/>
      <c r="G470" s="30"/>
      <c r="I470" s="36"/>
      <c r="J470" s="36"/>
      <c r="K470" s="42"/>
    </row>
    <row r="471" ht="15.75" customHeight="1">
      <c r="A471" s="30"/>
      <c r="B471" s="60"/>
      <c r="C471" s="26"/>
      <c r="D471" s="34"/>
      <c r="E471" s="34"/>
      <c r="F471" s="34"/>
      <c r="G471" s="30"/>
      <c r="I471" s="36"/>
      <c r="J471" s="36"/>
      <c r="K471" s="42"/>
    </row>
    <row r="472" ht="15.75" customHeight="1">
      <c r="A472" s="30"/>
      <c r="B472" s="60"/>
      <c r="C472" s="26"/>
      <c r="D472" s="34"/>
      <c r="E472" s="34"/>
      <c r="F472" s="34"/>
      <c r="G472" s="30"/>
      <c r="I472" s="36"/>
      <c r="J472" s="36"/>
      <c r="K472" s="42"/>
    </row>
    <row r="473" ht="15.75" customHeight="1">
      <c r="A473" s="30"/>
      <c r="B473" s="60"/>
      <c r="C473" s="26"/>
      <c r="D473" s="34"/>
      <c r="E473" s="34"/>
      <c r="F473" s="34"/>
      <c r="G473" s="30"/>
      <c r="I473" s="36"/>
      <c r="J473" s="36"/>
      <c r="K473" s="42"/>
    </row>
    <row r="474" ht="15.75" customHeight="1">
      <c r="A474" s="30"/>
      <c r="B474" s="60"/>
      <c r="C474" s="26"/>
      <c r="D474" s="34"/>
      <c r="E474" s="34"/>
      <c r="F474" s="34"/>
      <c r="G474" s="30"/>
      <c r="I474" s="36"/>
      <c r="J474" s="36"/>
      <c r="K474" s="42"/>
    </row>
    <row r="475" ht="15.75" customHeight="1">
      <c r="A475" s="30"/>
      <c r="B475" s="60"/>
      <c r="C475" s="26"/>
      <c r="D475" s="34"/>
      <c r="E475" s="34"/>
      <c r="F475" s="34"/>
      <c r="G475" s="30"/>
      <c r="I475" s="36"/>
      <c r="J475" s="36"/>
      <c r="K475" s="42"/>
    </row>
    <row r="476" ht="15.75" customHeight="1">
      <c r="A476" s="30"/>
      <c r="B476" s="60"/>
      <c r="C476" s="26"/>
      <c r="D476" s="34"/>
      <c r="E476" s="34"/>
      <c r="F476" s="34"/>
      <c r="G476" s="30"/>
      <c r="I476" s="36"/>
      <c r="J476" s="36"/>
      <c r="K476" s="42"/>
    </row>
    <row r="477" ht="15.75" customHeight="1">
      <c r="A477" s="30"/>
      <c r="B477" s="60"/>
      <c r="C477" s="26"/>
      <c r="D477" s="34"/>
      <c r="E477" s="34"/>
      <c r="F477" s="34"/>
      <c r="G477" s="30"/>
      <c r="I477" s="36"/>
      <c r="J477" s="36"/>
      <c r="K477" s="42"/>
    </row>
    <row r="478" ht="15.75" customHeight="1">
      <c r="A478" s="30"/>
      <c r="B478" s="60"/>
      <c r="C478" s="26"/>
      <c r="D478" s="34"/>
      <c r="E478" s="34"/>
      <c r="F478" s="34"/>
      <c r="G478" s="30"/>
      <c r="I478" s="36"/>
      <c r="J478" s="36"/>
      <c r="K478" s="42"/>
    </row>
    <row r="479" ht="15.75" customHeight="1">
      <c r="A479" s="30"/>
      <c r="B479" s="60"/>
      <c r="C479" s="26"/>
      <c r="D479" s="34"/>
      <c r="E479" s="34"/>
      <c r="F479" s="34"/>
      <c r="G479" s="30"/>
      <c r="I479" s="36"/>
      <c r="J479" s="36"/>
      <c r="K479" s="42"/>
    </row>
    <row r="480" ht="15.75" customHeight="1">
      <c r="A480" s="30"/>
      <c r="B480" s="60"/>
      <c r="C480" s="26"/>
      <c r="D480" s="34"/>
      <c r="E480" s="34"/>
      <c r="F480" s="34"/>
      <c r="G480" s="30"/>
      <c r="I480" s="36"/>
      <c r="J480" s="36"/>
      <c r="K480" s="42"/>
    </row>
    <row r="481" ht="15.75" customHeight="1">
      <c r="A481" s="30"/>
      <c r="B481" s="60"/>
      <c r="C481" s="26"/>
      <c r="D481" s="34"/>
      <c r="E481" s="34"/>
      <c r="F481" s="34"/>
      <c r="G481" s="30"/>
      <c r="I481" s="36"/>
      <c r="J481" s="36"/>
      <c r="K481" s="42"/>
    </row>
    <row r="482" ht="15.75" customHeight="1">
      <c r="A482" s="30"/>
      <c r="B482" s="60"/>
      <c r="C482" s="26"/>
      <c r="D482" s="34"/>
      <c r="E482" s="34"/>
      <c r="F482" s="34"/>
      <c r="G482" s="30"/>
      <c r="I482" s="36"/>
      <c r="J482" s="36"/>
      <c r="K482" s="42"/>
    </row>
    <row r="483" ht="15.75" customHeight="1">
      <c r="A483" s="30"/>
      <c r="B483" s="60"/>
      <c r="C483" s="26"/>
      <c r="D483" s="34"/>
      <c r="E483" s="34"/>
      <c r="F483" s="34"/>
      <c r="G483" s="30"/>
      <c r="I483" s="36"/>
      <c r="J483" s="36"/>
      <c r="K483" s="42"/>
    </row>
    <row r="484" ht="15.75" customHeight="1">
      <c r="A484" s="30"/>
      <c r="B484" s="60"/>
      <c r="C484" s="26"/>
      <c r="D484" s="34"/>
      <c r="E484" s="34"/>
      <c r="F484" s="34"/>
      <c r="G484" s="30"/>
      <c r="I484" s="36"/>
      <c r="J484" s="36"/>
      <c r="K484" s="42"/>
    </row>
    <row r="485" ht="15.75" customHeight="1">
      <c r="A485" s="30"/>
      <c r="B485" s="60"/>
      <c r="C485" s="26"/>
      <c r="D485" s="34"/>
      <c r="E485" s="34"/>
      <c r="F485" s="34"/>
      <c r="G485" s="30"/>
      <c r="I485" s="36"/>
      <c r="J485" s="36"/>
      <c r="K485" s="42"/>
    </row>
    <row r="486" ht="15.75" customHeight="1">
      <c r="A486" s="30"/>
      <c r="B486" s="60"/>
      <c r="C486" s="26"/>
      <c r="D486" s="34"/>
      <c r="E486" s="34"/>
      <c r="F486" s="34"/>
      <c r="G486" s="30"/>
      <c r="I486" s="36"/>
      <c r="J486" s="36"/>
      <c r="K486" s="42"/>
    </row>
    <row r="487" ht="15.75" customHeight="1">
      <c r="A487" s="30"/>
      <c r="B487" s="60"/>
      <c r="C487" s="26"/>
      <c r="D487" s="34"/>
      <c r="E487" s="34"/>
      <c r="F487" s="34"/>
      <c r="G487" s="30"/>
      <c r="I487" s="36"/>
      <c r="J487" s="36"/>
      <c r="K487" s="42"/>
    </row>
    <row r="488" ht="15.75" customHeight="1">
      <c r="A488" s="30"/>
      <c r="B488" s="60"/>
      <c r="C488" s="26"/>
      <c r="D488" s="34"/>
      <c r="E488" s="34"/>
      <c r="F488" s="34"/>
      <c r="G488" s="30"/>
      <c r="I488" s="36"/>
      <c r="J488" s="36"/>
      <c r="K488" s="42"/>
    </row>
    <row r="489" ht="15.75" customHeight="1">
      <c r="A489" s="30"/>
      <c r="B489" s="60"/>
      <c r="C489" s="26"/>
      <c r="D489" s="34"/>
      <c r="E489" s="34"/>
      <c r="F489" s="34"/>
      <c r="G489" s="30"/>
      <c r="I489" s="36"/>
      <c r="J489" s="36"/>
      <c r="K489" s="42"/>
    </row>
    <row r="490" ht="15.75" customHeight="1">
      <c r="A490" s="30"/>
      <c r="B490" s="60"/>
      <c r="C490" s="26"/>
      <c r="D490" s="34"/>
      <c r="E490" s="34"/>
      <c r="F490" s="34"/>
      <c r="G490" s="30"/>
      <c r="I490" s="36"/>
      <c r="J490" s="36"/>
      <c r="K490" s="42"/>
    </row>
    <row r="491" ht="15.75" customHeight="1">
      <c r="A491" s="30"/>
      <c r="B491" s="60"/>
      <c r="C491" s="26"/>
      <c r="D491" s="34"/>
      <c r="E491" s="34"/>
      <c r="F491" s="34"/>
      <c r="G491" s="30"/>
      <c r="I491" s="36"/>
      <c r="J491" s="36"/>
      <c r="K491" s="42"/>
    </row>
    <row r="492" ht="15.75" customHeight="1">
      <c r="A492" s="30"/>
      <c r="B492" s="60"/>
      <c r="C492" s="26"/>
      <c r="D492" s="34"/>
      <c r="E492" s="34"/>
      <c r="F492" s="34"/>
      <c r="G492" s="30"/>
      <c r="I492" s="36"/>
      <c r="J492" s="36"/>
      <c r="K492" s="42"/>
    </row>
    <row r="493" ht="15.75" customHeight="1">
      <c r="A493" s="30"/>
      <c r="B493" s="60"/>
      <c r="C493" s="26"/>
      <c r="D493" s="34"/>
      <c r="E493" s="34"/>
      <c r="F493" s="34"/>
      <c r="G493" s="30"/>
      <c r="I493" s="36"/>
      <c r="J493" s="36"/>
      <c r="K493" s="42"/>
    </row>
    <row r="494" ht="15.75" customHeight="1">
      <c r="A494" s="30"/>
      <c r="B494" s="60"/>
      <c r="C494" s="26"/>
      <c r="D494" s="34"/>
      <c r="E494" s="34"/>
      <c r="F494" s="34"/>
      <c r="G494" s="30"/>
      <c r="I494" s="36"/>
      <c r="J494" s="36"/>
      <c r="K494" s="42"/>
    </row>
    <row r="495" ht="15.75" customHeight="1">
      <c r="A495" s="30"/>
      <c r="B495" s="60"/>
      <c r="C495" s="26"/>
      <c r="D495" s="34"/>
      <c r="E495" s="34"/>
      <c r="F495" s="34"/>
      <c r="G495" s="30"/>
      <c r="I495" s="36"/>
      <c r="J495" s="36"/>
      <c r="K495" s="42"/>
    </row>
    <row r="496" ht="15.75" customHeight="1">
      <c r="A496" s="30"/>
      <c r="B496" s="60"/>
      <c r="C496" s="26"/>
      <c r="D496" s="34"/>
      <c r="E496" s="34"/>
      <c r="F496" s="34"/>
      <c r="G496" s="30"/>
      <c r="I496" s="36"/>
      <c r="J496" s="36"/>
      <c r="K496" s="42"/>
    </row>
    <row r="497" ht="15.75" customHeight="1">
      <c r="A497" s="30"/>
      <c r="B497" s="60"/>
      <c r="C497" s="26"/>
      <c r="D497" s="34"/>
      <c r="E497" s="34"/>
      <c r="F497" s="34"/>
      <c r="G497" s="30"/>
      <c r="I497" s="36"/>
      <c r="J497" s="36"/>
      <c r="K497" s="42"/>
    </row>
    <row r="498" ht="15.75" customHeight="1">
      <c r="A498" s="30"/>
      <c r="B498" s="60"/>
      <c r="C498" s="26"/>
      <c r="D498" s="34"/>
      <c r="E498" s="34"/>
      <c r="F498" s="34"/>
      <c r="G498" s="30"/>
      <c r="I498" s="36"/>
      <c r="J498" s="36"/>
      <c r="K498" s="42"/>
    </row>
    <row r="499" ht="15.75" customHeight="1">
      <c r="A499" s="30"/>
      <c r="B499" s="60"/>
      <c r="C499" s="26"/>
      <c r="D499" s="34"/>
      <c r="E499" s="34"/>
      <c r="F499" s="34"/>
      <c r="G499" s="30"/>
      <c r="I499" s="36"/>
      <c r="J499" s="36"/>
      <c r="K499" s="42"/>
    </row>
    <row r="500" ht="15.75" customHeight="1">
      <c r="A500" s="30"/>
      <c r="B500" s="60"/>
      <c r="C500" s="26"/>
      <c r="D500" s="34"/>
      <c r="E500" s="34"/>
      <c r="F500" s="34"/>
      <c r="G500" s="30"/>
      <c r="I500" s="36"/>
      <c r="J500" s="36"/>
      <c r="K500" s="42"/>
    </row>
    <row r="501" ht="15.75" customHeight="1">
      <c r="A501" s="30"/>
      <c r="B501" s="60"/>
      <c r="C501" s="26"/>
      <c r="D501" s="34"/>
      <c r="E501" s="34"/>
      <c r="F501" s="34"/>
      <c r="G501" s="30"/>
      <c r="I501" s="36"/>
      <c r="J501" s="36"/>
      <c r="K501" s="42"/>
    </row>
    <row r="502" ht="15.75" customHeight="1">
      <c r="A502" s="30"/>
      <c r="B502" s="60"/>
      <c r="C502" s="26"/>
      <c r="D502" s="34"/>
      <c r="E502" s="34"/>
      <c r="F502" s="34"/>
      <c r="G502" s="30"/>
      <c r="I502" s="36"/>
      <c r="J502" s="36"/>
      <c r="K502" s="42"/>
    </row>
    <row r="503" ht="15.75" customHeight="1">
      <c r="A503" s="30"/>
      <c r="B503" s="60"/>
      <c r="C503" s="26"/>
      <c r="D503" s="34"/>
      <c r="E503" s="34"/>
      <c r="F503" s="34"/>
      <c r="G503" s="30"/>
      <c r="I503" s="36"/>
      <c r="J503" s="36"/>
      <c r="K503" s="42"/>
    </row>
    <row r="504" ht="15.75" customHeight="1">
      <c r="A504" s="30"/>
      <c r="B504" s="60"/>
      <c r="C504" s="26"/>
      <c r="D504" s="34"/>
      <c r="E504" s="34"/>
      <c r="F504" s="34"/>
      <c r="G504" s="30"/>
      <c r="I504" s="36"/>
      <c r="J504" s="36"/>
      <c r="K504" s="42"/>
    </row>
    <row r="505" ht="15.75" customHeight="1">
      <c r="A505" s="30"/>
      <c r="B505" s="60"/>
      <c r="C505" s="26"/>
      <c r="D505" s="34"/>
      <c r="E505" s="34"/>
      <c r="F505" s="34"/>
      <c r="G505" s="30"/>
      <c r="I505" s="36"/>
      <c r="J505" s="36"/>
      <c r="K505" s="42"/>
    </row>
    <row r="506" ht="15.75" customHeight="1">
      <c r="A506" s="30"/>
      <c r="B506" s="60"/>
      <c r="C506" s="26"/>
      <c r="D506" s="34"/>
      <c r="E506" s="34"/>
      <c r="F506" s="34"/>
      <c r="G506" s="30"/>
      <c r="I506" s="36"/>
      <c r="J506" s="36"/>
      <c r="K506" s="42"/>
    </row>
    <row r="507" ht="15.75" customHeight="1">
      <c r="A507" s="30"/>
      <c r="B507" s="60"/>
      <c r="C507" s="26"/>
      <c r="D507" s="34"/>
      <c r="E507" s="34"/>
      <c r="F507" s="34"/>
      <c r="G507" s="30"/>
      <c r="I507" s="36"/>
      <c r="J507" s="36"/>
      <c r="K507" s="42"/>
    </row>
    <row r="508" ht="15.75" customHeight="1">
      <c r="A508" s="30"/>
      <c r="B508" s="60"/>
      <c r="C508" s="26"/>
      <c r="D508" s="34"/>
      <c r="E508" s="34"/>
      <c r="F508" s="34"/>
      <c r="G508" s="30"/>
      <c r="I508" s="36"/>
      <c r="J508" s="36"/>
      <c r="K508" s="42"/>
    </row>
    <row r="509" ht="15.75" customHeight="1">
      <c r="A509" s="30"/>
      <c r="B509" s="60"/>
      <c r="C509" s="26"/>
      <c r="D509" s="34"/>
      <c r="E509" s="34"/>
      <c r="F509" s="34"/>
      <c r="G509" s="30"/>
      <c r="I509" s="36"/>
      <c r="J509" s="36"/>
      <c r="K509" s="42"/>
    </row>
    <row r="510" ht="15.75" customHeight="1">
      <c r="A510" s="30"/>
      <c r="B510" s="60"/>
      <c r="C510" s="26"/>
      <c r="D510" s="34"/>
      <c r="E510" s="34"/>
      <c r="F510" s="34"/>
      <c r="G510" s="30"/>
      <c r="I510" s="36"/>
      <c r="J510" s="36"/>
      <c r="K510" s="42"/>
    </row>
    <row r="511" ht="15.75" customHeight="1">
      <c r="A511" s="30"/>
      <c r="B511" s="60"/>
      <c r="C511" s="26"/>
      <c r="D511" s="34"/>
      <c r="E511" s="34"/>
      <c r="F511" s="34"/>
      <c r="G511" s="30"/>
      <c r="I511" s="36"/>
      <c r="J511" s="36"/>
      <c r="K511" s="42"/>
    </row>
    <row r="512" ht="15.75" customHeight="1">
      <c r="A512" s="30"/>
      <c r="B512" s="60"/>
      <c r="C512" s="26"/>
      <c r="D512" s="34"/>
      <c r="E512" s="34"/>
      <c r="F512" s="34"/>
      <c r="G512" s="30"/>
      <c r="I512" s="36"/>
      <c r="J512" s="36"/>
      <c r="K512" s="42"/>
    </row>
    <row r="513" ht="15.75" customHeight="1">
      <c r="A513" s="30"/>
      <c r="B513" s="60"/>
      <c r="C513" s="26"/>
      <c r="D513" s="34"/>
      <c r="E513" s="34"/>
      <c r="F513" s="34"/>
      <c r="G513" s="30"/>
      <c r="I513" s="36"/>
      <c r="J513" s="36"/>
      <c r="K513" s="42"/>
    </row>
    <row r="514" ht="15.75" customHeight="1">
      <c r="A514" s="30"/>
      <c r="B514" s="60"/>
      <c r="C514" s="26"/>
      <c r="D514" s="34"/>
      <c r="E514" s="34"/>
      <c r="F514" s="34"/>
      <c r="G514" s="30"/>
      <c r="I514" s="36"/>
      <c r="J514" s="36"/>
      <c r="K514" s="42"/>
    </row>
    <row r="515" ht="15.75" customHeight="1">
      <c r="A515" s="30"/>
      <c r="B515" s="60"/>
      <c r="C515" s="26"/>
      <c r="D515" s="34"/>
      <c r="E515" s="34"/>
      <c r="F515" s="34"/>
      <c r="G515" s="30"/>
      <c r="I515" s="36"/>
      <c r="J515" s="36"/>
      <c r="K515" s="42"/>
    </row>
    <row r="516" ht="15.75" customHeight="1">
      <c r="A516" s="30"/>
      <c r="B516" s="60"/>
      <c r="C516" s="26"/>
      <c r="D516" s="34"/>
      <c r="E516" s="34"/>
      <c r="F516" s="34"/>
      <c r="G516" s="30"/>
      <c r="I516" s="36"/>
      <c r="J516" s="36"/>
      <c r="K516" s="42"/>
    </row>
    <row r="517" ht="15.75" customHeight="1">
      <c r="A517" s="30"/>
      <c r="B517" s="60"/>
      <c r="C517" s="26"/>
      <c r="D517" s="34"/>
      <c r="E517" s="34"/>
      <c r="F517" s="34"/>
      <c r="G517" s="30"/>
      <c r="I517" s="36"/>
      <c r="J517" s="36"/>
      <c r="K517" s="42"/>
    </row>
    <row r="518" ht="15.75" customHeight="1">
      <c r="A518" s="30"/>
      <c r="B518" s="60"/>
      <c r="C518" s="26"/>
      <c r="D518" s="34"/>
      <c r="E518" s="34"/>
      <c r="F518" s="34"/>
      <c r="G518" s="30"/>
      <c r="I518" s="36"/>
      <c r="J518" s="36"/>
      <c r="K518" s="42"/>
    </row>
    <row r="519" ht="15.75" customHeight="1">
      <c r="A519" s="30"/>
      <c r="B519" s="60"/>
      <c r="C519" s="26"/>
      <c r="D519" s="34"/>
      <c r="E519" s="34"/>
      <c r="F519" s="34"/>
      <c r="G519" s="30"/>
      <c r="I519" s="36"/>
      <c r="J519" s="36"/>
      <c r="K519" s="42"/>
    </row>
    <row r="520" ht="15.75" customHeight="1">
      <c r="A520" s="30"/>
      <c r="B520" s="60"/>
      <c r="C520" s="26"/>
      <c r="D520" s="34"/>
      <c r="E520" s="34"/>
      <c r="F520" s="34"/>
      <c r="G520" s="30"/>
      <c r="I520" s="36"/>
      <c r="J520" s="36"/>
      <c r="K520" s="42"/>
    </row>
    <row r="521" ht="15.75" customHeight="1">
      <c r="A521" s="30"/>
      <c r="B521" s="60"/>
      <c r="C521" s="26"/>
      <c r="D521" s="34"/>
      <c r="E521" s="34"/>
      <c r="F521" s="34"/>
      <c r="G521" s="30"/>
      <c r="I521" s="36"/>
      <c r="J521" s="36"/>
      <c r="K521" s="42"/>
    </row>
    <row r="522" ht="15.75" customHeight="1">
      <c r="A522" s="30"/>
      <c r="B522" s="60"/>
      <c r="C522" s="26"/>
      <c r="D522" s="34"/>
      <c r="E522" s="34"/>
      <c r="F522" s="34"/>
      <c r="G522" s="30"/>
      <c r="I522" s="36"/>
      <c r="J522" s="36"/>
      <c r="K522" s="42"/>
    </row>
    <row r="523" ht="15.75" customHeight="1">
      <c r="A523" s="30"/>
      <c r="B523" s="60"/>
      <c r="C523" s="26"/>
      <c r="D523" s="34"/>
      <c r="E523" s="34"/>
      <c r="F523" s="34"/>
      <c r="G523" s="30"/>
      <c r="I523" s="36"/>
      <c r="J523" s="36"/>
      <c r="K523" s="42"/>
    </row>
    <row r="524" ht="15.75" customHeight="1">
      <c r="A524" s="30"/>
      <c r="B524" s="60"/>
      <c r="C524" s="26"/>
      <c r="D524" s="34"/>
      <c r="E524" s="34"/>
      <c r="F524" s="34"/>
      <c r="G524" s="30"/>
      <c r="I524" s="36"/>
      <c r="J524" s="36"/>
      <c r="K524" s="42"/>
    </row>
    <row r="525" ht="15.75" customHeight="1">
      <c r="A525" s="30"/>
      <c r="B525" s="60"/>
      <c r="C525" s="26"/>
      <c r="D525" s="34"/>
      <c r="E525" s="34"/>
      <c r="F525" s="34"/>
      <c r="G525" s="30"/>
      <c r="I525" s="36"/>
      <c r="J525" s="36"/>
      <c r="K525" s="42"/>
    </row>
    <row r="526" ht="15.75" customHeight="1">
      <c r="A526" s="30"/>
      <c r="B526" s="60"/>
      <c r="C526" s="26"/>
      <c r="D526" s="34"/>
      <c r="E526" s="34"/>
      <c r="F526" s="34"/>
      <c r="G526" s="30"/>
      <c r="I526" s="36"/>
      <c r="J526" s="36"/>
      <c r="K526" s="42"/>
    </row>
    <row r="527" ht="15.75" customHeight="1">
      <c r="A527" s="30"/>
      <c r="B527" s="60"/>
      <c r="C527" s="26"/>
      <c r="D527" s="34"/>
      <c r="E527" s="34"/>
      <c r="F527" s="34"/>
      <c r="G527" s="30"/>
      <c r="I527" s="36"/>
      <c r="J527" s="36"/>
      <c r="K527" s="42"/>
    </row>
    <row r="528" ht="15.75" customHeight="1">
      <c r="A528" s="30"/>
      <c r="B528" s="60"/>
      <c r="C528" s="26"/>
      <c r="D528" s="34"/>
      <c r="E528" s="34"/>
      <c r="F528" s="34"/>
      <c r="G528" s="30"/>
      <c r="I528" s="36"/>
      <c r="J528" s="36"/>
      <c r="K528" s="42"/>
    </row>
    <row r="529" ht="15.75" customHeight="1">
      <c r="A529" s="30"/>
      <c r="B529" s="60"/>
      <c r="C529" s="26"/>
      <c r="D529" s="34"/>
      <c r="E529" s="34"/>
      <c r="F529" s="34"/>
      <c r="G529" s="30"/>
      <c r="I529" s="36"/>
      <c r="J529" s="36"/>
      <c r="K529" s="42"/>
    </row>
    <row r="530" ht="15.75" customHeight="1">
      <c r="A530" s="30"/>
      <c r="B530" s="60"/>
      <c r="C530" s="26"/>
      <c r="D530" s="34"/>
      <c r="E530" s="34"/>
      <c r="F530" s="34"/>
      <c r="G530" s="30"/>
      <c r="I530" s="36"/>
      <c r="J530" s="36"/>
      <c r="K530" s="42"/>
    </row>
    <row r="531" ht="15.75" customHeight="1">
      <c r="A531" s="30"/>
      <c r="B531" s="60"/>
      <c r="C531" s="26"/>
      <c r="D531" s="34"/>
      <c r="E531" s="34"/>
      <c r="F531" s="34"/>
      <c r="G531" s="30"/>
      <c r="I531" s="36"/>
      <c r="J531" s="36"/>
      <c r="K531" s="42"/>
    </row>
    <row r="532" ht="15.75" customHeight="1">
      <c r="A532" s="30"/>
      <c r="B532" s="60"/>
      <c r="C532" s="26"/>
      <c r="D532" s="34"/>
      <c r="E532" s="34"/>
      <c r="F532" s="34"/>
      <c r="G532" s="30"/>
      <c r="I532" s="36"/>
      <c r="J532" s="36"/>
      <c r="K532" s="42"/>
    </row>
    <row r="533" ht="15.75" customHeight="1">
      <c r="A533" s="30"/>
      <c r="B533" s="60"/>
      <c r="C533" s="26"/>
      <c r="D533" s="34"/>
      <c r="E533" s="34"/>
      <c r="F533" s="34"/>
      <c r="G533" s="30"/>
      <c r="I533" s="36"/>
      <c r="J533" s="36"/>
      <c r="K533" s="42"/>
    </row>
    <row r="534" ht="15.75" customHeight="1">
      <c r="A534" s="30"/>
      <c r="B534" s="60"/>
      <c r="C534" s="26"/>
      <c r="D534" s="34"/>
      <c r="E534" s="34"/>
      <c r="F534" s="34"/>
      <c r="G534" s="30"/>
      <c r="I534" s="36"/>
      <c r="J534" s="36"/>
      <c r="K534" s="42"/>
    </row>
    <row r="535" ht="15.75" customHeight="1">
      <c r="A535" s="30"/>
      <c r="B535" s="60"/>
      <c r="C535" s="26"/>
      <c r="D535" s="34"/>
      <c r="E535" s="34"/>
      <c r="F535" s="34"/>
      <c r="G535" s="30"/>
      <c r="I535" s="36"/>
      <c r="J535" s="36"/>
      <c r="K535" s="42"/>
    </row>
    <row r="536" ht="15.75" customHeight="1">
      <c r="A536" s="30"/>
      <c r="B536" s="60"/>
      <c r="C536" s="26"/>
      <c r="D536" s="34"/>
      <c r="E536" s="34"/>
      <c r="F536" s="34"/>
      <c r="G536" s="30"/>
      <c r="I536" s="36"/>
      <c r="J536" s="36"/>
      <c r="K536" s="42"/>
    </row>
    <row r="537" ht="15.75" customHeight="1">
      <c r="A537" s="30"/>
      <c r="B537" s="60"/>
      <c r="C537" s="26"/>
      <c r="D537" s="34"/>
      <c r="E537" s="34"/>
      <c r="F537" s="34"/>
      <c r="G537" s="30"/>
      <c r="I537" s="36"/>
      <c r="J537" s="36"/>
      <c r="K537" s="42"/>
    </row>
    <row r="538" ht="15.75" customHeight="1">
      <c r="A538" s="30"/>
      <c r="B538" s="60"/>
      <c r="C538" s="26"/>
      <c r="D538" s="34"/>
      <c r="E538" s="34"/>
      <c r="F538" s="34"/>
      <c r="G538" s="30"/>
      <c r="I538" s="36"/>
      <c r="J538" s="36"/>
      <c r="K538" s="42"/>
    </row>
    <row r="539" ht="15.75" customHeight="1">
      <c r="A539" s="30"/>
      <c r="B539" s="60"/>
      <c r="C539" s="26"/>
      <c r="D539" s="34"/>
      <c r="E539" s="34"/>
      <c r="F539" s="34"/>
      <c r="G539" s="30"/>
      <c r="I539" s="36"/>
      <c r="J539" s="36"/>
      <c r="K539" s="42"/>
    </row>
    <row r="540" ht="15.75" customHeight="1">
      <c r="A540" s="30"/>
      <c r="B540" s="60"/>
      <c r="C540" s="26"/>
      <c r="D540" s="34"/>
      <c r="E540" s="34"/>
      <c r="F540" s="34"/>
      <c r="G540" s="30"/>
      <c r="I540" s="36"/>
      <c r="J540" s="36"/>
      <c r="K540" s="42"/>
    </row>
    <row r="541" ht="15.75" customHeight="1">
      <c r="A541" s="30"/>
      <c r="B541" s="60"/>
      <c r="C541" s="26"/>
      <c r="D541" s="34"/>
      <c r="E541" s="34"/>
      <c r="F541" s="34"/>
      <c r="G541" s="30"/>
      <c r="I541" s="36"/>
      <c r="J541" s="36"/>
      <c r="K541" s="42"/>
    </row>
    <row r="542" ht="15.75" customHeight="1">
      <c r="A542" s="30"/>
      <c r="B542" s="60"/>
      <c r="C542" s="26"/>
      <c r="D542" s="34"/>
      <c r="E542" s="34"/>
      <c r="F542" s="34"/>
      <c r="G542" s="30"/>
      <c r="I542" s="36"/>
      <c r="J542" s="36"/>
      <c r="K542" s="42"/>
    </row>
    <row r="543" ht="15.75" customHeight="1">
      <c r="A543" s="30"/>
      <c r="B543" s="60"/>
      <c r="C543" s="26"/>
      <c r="D543" s="34"/>
      <c r="E543" s="34"/>
      <c r="F543" s="34"/>
      <c r="G543" s="30"/>
      <c r="I543" s="36"/>
      <c r="J543" s="36"/>
      <c r="K543" s="42"/>
    </row>
    <row r="544" ht="15.75" customHeight="1">
      <c r="A544" s="30"/>
      <c r="B544" s="60"/>
      <c r="C544" s="26"/>
      <c r="D544" s="34"/>
      <c r="E544" s="34"/>
      <c r="F544" s="34"/>
      <c r="G544" s="30"/>
      <c r="I544" s="36"/>
      <c r="J544" s="36"/>
      <c r="K544" s="42"/>
    </row>
    <row r="545" ht="15.75" customHeight="1">
      <c r="A545" s="30"/>
      <c r="B545" s="60"/>
      <c r="C545" s="26"/>
      <c r="D545" s="34"/>
      <c r="E545" s="34"/>
      <c r="F545" s="34"/>
      <c r="G545" s="30"/>
      <c r="I545" s="36"/>
      <c r="J545" s="36"/>
      <c r="K545" s="42"/>
    </row>
    <row r="546" ht="15.75" customHeight="1">
      <c r="A546" s="30"/>
      <c r="B546" s="60"/>
      <c r="C546" s="26"/>
      <c r="D546" s="34"/>
      <c r="E546" s="34"/>
      <c r="F546" s="34"/>
      <c r="G546" s="30"/>
      <c r="I546" s="36"/>
      <c r="J546" s="36"/>
      <c r="K546" s="42"/>
    </row>
    <row r="547" ht="15.75" customHeight="1">
      <c r="A547" s="30"/>
      <c r="B547" s="60"/>
      <c r="C547" s="26"/>
      <c r="D547" s="34"/>
      <c r="E547" s="34"/>
      <c r="F547" s="34"/>
      <c r="G547" s="30"/>
      <c r="I547" s="36"/>
      <c r="J547" s="36"/>
      <c r="K547" s="42"/>
    </row>
    <row r="548" ht="15.75" customHeight="1">
      <c r="A548" s="30"/>
      <c r="B548" s="60"/>
      <c r="C548" s="26"/>
      <c r="D548" s="34"/>
      <c r="E548" s="34"/>
      <c r="F548" s="34"/>
      <c r="G548" s="30"/>
      <c r="I548" s="36"/>
      <c r="J548" s="36"/>
      <c r="K548" s="42"/>
    </row>
    <row r="549" ht="15.75" customHeight="1">
      <c r="A549" s="30"/>
      <c r="B549" s="60"/>
      <c r="C549" s="26"/>
      <c r="D549" s="34"/>
      <c r="E549" s="34"/>
      <c r="F549" s="34"/>
      <c r="G549" s="30"/>
      <c r="I549" s="36"/>
      <c r="J549" s="36"/>
      <c r="K549" s="42"/>
    </row>
    <row r="550" ht="15.75" customHeight="1">
      <c r="A550" s="30"/>
      <c r="B550" s="60"/>
      <c r="C550" s="26"/>
      <c r="D550" s="34"/>
      <c r="E550" s="34"/>
      <c r="F550" s="34"/>
      <c r="G550" s="30"/>
      <c r="I550" s="36"/>
      <c r="J550" s="36"/>
      <c r="K550" s="42"/>
    </row>
    <row r="551" ht="15.75" customHeight="1">
      <c r="A551" s="30"/>
      <c r="B551" s="60"/>
      <c r="C551" s="26"/>
      <c r="D551" s="34"/>
      <c r="E551" s="34"/>
      <c r="F551" s="34"/>
      <c r="G551" s="30"/>
      <c r="I551" s="36"/>
      <c r="J551" s="36"/>
      <c r="K551" s="42"/>
    </row>
    <row r="552" ht="15.75" customHeight="1">
      <c r="A552" s="30"/>
      <c r="B552" s="60"/>
      <c r="C552" s="26"/>
      <c r="D552" s="34"/>
      <c r="E552" s="34"/>
      <c r="F552" s="34"/>
      <c r="G552" s="30"/>
      <c r="I552" s="36"/>
      <c r="J552" s="36"/>
      <c r="K552" s="42"/>
    </row>
    <row r="553" ht="15.75" customHeight="1">
      <c r="A553" s="30"/>
      <c r="B553" s="60"/>
      <c r="C553" s="26"/>
      <c r="D553" s="34"/>
      <c r="E553" s="34"/>
      <c r="F553" s="34"/>
      <c r="G553" s="30"/>
      <c r="I553" s="36"/>
      <c r="J553" s="36"/>
      <c r="K553" s="42"/>
    </row>
    <row r="554" ht="15.75" customHeight="1">
      <c r="A554" s="30"/>
      <c r="B554" s="60"/>
      <c r="C554" s="26"/>
      <c r="D554" s="34"/>
      <c r="E554" s="34"/>
      <c r="F554" s="34"/>
      <c r="G554" s="30"/>
      <c r="I554" s="36"/>
      <c r="J554" s="36"/>
      <c r="K554" s="42"/>
    </row>
    <row r="555" ht="15.75" customHeight="1">
      <c r="A555" s="30"/>
      <c r="B555" s="60"/>
      <c r="C555" s="26"/>
      <c r="D555" s="34"/>
      <c r="E555" s="34"/>
      <c r="F555" s="34"/>
      <c r="G555" s="30"/>
      <c r="I555" s="36"/>
      <c r="J555" s="36"/>
      <c r="K555" s="42"/>
    </row>
    <row r="556" ht="15.75" customHeight="1">
      <c r="A556" s="30"/>
      <c r="B556" s="60"/>
      <c r="C556" s="26"/>
      <c r="D556" s="34"/>
      <c r="E556" s="34"/>
      <c r="F556" s="34"/>
      <c r="G556" s="30"/>
      <c r="I556" s="36"/>
      <c r="J556" s="36"/>
      <c r="K556" s="42"/>
    </row>
    <row r="557" ht="15.75" customHeight="1">
      <c r="A557" s="30"/>
      <c r="B557" s="60"/>
      <c r="C557" s="26"/>
      <c r="D557" s="34"/>
      <c r="E557" s="34"/>
      <c r="F557" s="34"/>
      <c r="G557" s="30"/>
      <c r="I557" s="36"/>
      <c r="J557" s="36"/>
      <c r="K557" s="42"/>
    </row>
    <row r="558" ht="15.75" customHeight="1">
      <c r="A558" s="30"/>
      <c r="B558" s="60"/>
      <c r="C558" s="26"/>
      <c r="D558" s="34"/>
      <c r="E558" s="34"/>
      <c r="F558" s="34"/>
      <c r="G558" s="30"/>
      <c r="I558" s="36"/>
      <c r="J558" s="36"/>
      <c r="K558" s="42"/>
    </row>
    <row r="559" ht="15.75" customHeight="1">
      <c r="A559" s="30"/>
      <c r="B559" s="60"/>
      <c r="C559" s="26"/>
      <c r="D559" s="34"/>
      <c r="E559" s="34"/>
      <c r="F559" s="34"/>
      <c r="G559" s="30"/>
      <c r="I559" s="36"/>
      <c r="J559" s="36"/>
      <c r="K559" s="42"/>
    </row>
    <row r="560" ht="15.75" customHeight="1">
      <c r="A560" s="30"/>
      <c r="B560" s="60"/>
      <c r="C560" s="26"/>
      <c r="D560" s="34"/>
      <c r="E560" s="34"/>
      <c r="F560" s="34"/>
      <c r="G560" s="30"/>
      <c r="I560" s="36"/>
      <c r="J560" s="36"/>
      <c r="K560" s="42"/>
    </row>
    <row r="561" ht="15.75" customHeight="1">
      <c r="A561" s="30"/>
      <c r="B561" s="60"/>
      <c r="C561" s="26"/>
      <c r="D561" s="34"/>
      <c r="E561" s="34"/>
      <c r="F561" s="34"/>
      <c r="G561" s="30"/>
      <c r="I561" s="36"/>
      <c r="J561" s="36"/>
      <c r="K561" s="42"/>
    </row>
    <row r="562" ht="15.75" customHeight="1">
      <c r="A562" s="30"/>
      <c r="B562" s="60"/>
      <c r="C562" s="26"/>
      <c r="D562" s="34"/>
      <c r="E562" s="34"/>
      <c r="F562" s="34"/>
      <c r="G562" s="30"/>
      <c r="I562" s="36"/>
      <c r="J562" s="36"/>
      <c r="K562" s="42"/>
    </row>
    <row r="563" ht="15.75" customHeight="1">
      <c r="A563" s="30"/>
      <c r="B563" s="60"/>
      <c r="C563" s="26"/>
      <c r="D563" s="34"/>
      <c r="E563" s="34"/>
      <c r="F563" s="34"/>
      <c r="G563" s="30"/>
      <c r="I563" s="36"/>
      <c r="J563" s="36"/>
      <c r="K563" s="42"/>
    </row>
    <row r="564" ht="15.75" customHeight="1">
      <c r="A564" s="30"/>
      <c r="B564" s="60"/>
      <c r="C564" s="26"/>
      <c r="D564" s="34"/>
      <c r="E564" s="34"/>
      <c r="F564" s="34"/>
      <c r="G564" s="30"/>
      <c r="I564" s="36"/>
      <c r="J564" s="36"/>
      <c r="K564" s="42"/>
    </row>
    <row r="565" ht="15.75" customHeight="1">
      <c r="A565" s="30"/>
      <c r="B565" s="60"/>
      <c r="C565" s="26"/>
      <c r="D565" s="34"/>
      <c r="E565" s="34"/>
      <c r="F565" s="34"/>
      <c r="G565" s="30"/>
      <c r="I565" s="36"/>
      <c r="J565" s="36"/>
      <c r="K565" s="42"/>
    </row>
    <row r="566" ht="15.75" customHeight="1">
      <c r="A566" s="30"/>
      <c r="B566" s="60"/>
      <c r="C566" s="26"/>
      <c r="D566" s="34"/>
      <c r="E566" s="34"/>
      <c r="F566" s="34"/>
      <c r="G566" s="30"/>
      <c r="I566" s="36"/>
      <c r="J566" s="36"/>
      <c r="K566" s="42"/>
    </row>
    <row r="567" ht="15.75" customHeight="1">
      <c r="A567" s="30"/>
      <c r="B567" s="60"/>
      <c r="C567" s="26"/>
      <c r="D567" s="34"/>
      <c r="E567" s="34"/>
      <c r="F567" s="34"/>
      <c r="G567" s="30"/>
      <c r="I567" s="36"/>
      <c r="J567" s="36"/>
      <c r="K567" s="42"/>
    </row>
    <row r="568" ht="15.75" customHeight="1">
      <c r="A568" s="30"/>
      <c r="B568" s="60"/>
      <c r="C568" s="26"/>
      <c r="D568" s="34"/>
      <c r="E568" s="34"/>
      <c r="F568" s="34"/>
      <c r="G568" s="30"/>
      <c r="I568" s="36"/>
      <c r="J568" s="36"/>
      <c r="K568" s="42"/>
    </row>
    <row r="569" ht="15.75" customHeight="1">
      <c r="A569" s="30"/>
      <c r="B569" s="60"/>
      <c r="C569" s="26"/>
      <c r="D569" s="34"/>
      <c r="E569" s="34"/>
      <c r="F569" s="34"/>
      <c r="G569" s="30"/>
      <c r="I569" s="36"/>
      <c r="J569" s="36"/>
      <c r="K569" s="42"/>
    </row>
    <row r="570" ht="15.75" customHeight="1">
      <c r="A570" s="30"/>
      <c r="B570" s="60"/>
      <c r="C570" s="26"/>
      <c r="D570" s="34"/>
      <c r="E570" s="34"/>
      <c r="F570" s="34"/>
      <c r="G570" s="30"/>
      <c r="I570" s="36"/>
      <c r="J570" s="36"/>
      <c r="K570" s="42"/>
    </row>
    <row r="571" ht="15.75" customHeight="1">
      <c r="A571" s="30"/>
      <c r="B571" s="60"/>
      <c r="C571" s="26"/>
      <c r="D571" s="34"/>
      <c r="E571" s="34"/>
      <c r="F571" s="34"/>
      <c r="G571" s="30"/>
      <c r="I571" s="36"/>
      <c r="J571" s="36"/>
      <c r="K571" s="42"/>
    </row>
    <row r="572" ht="15.75" customHeight="1">
      <c r="A572" s="30"/>
      <c r="B572" s="60"/>
      <c r="C572" s="26"/>
      <c r="D572" s="34"/>
      <c r="E572" s="34"/>
      <c r="F572" s="34"/>
      <c r="G572" s="30"/>
      <c r="I572" s="36"/>
      <c r="J572" s="36"/>
      <c r="K572" s="42"/>
    </row>
    <row r="573" ht="15.75" customHeight="1">
      <c r="A573" s="30"/>
      <c r="B573" s="60"/>
      <c r="C573" s="26"/>
      <c r="D573" s="34"/>
      <c r="E573" s="34"/>
      <c r="F573" s="34"/>
      <c r="G573" s="30"/>
      <c r="I573" s="36"/>
      <c r="J573" s="36"/>
      <c r="K573" s="42"/>
    </row>
    <row r="574" ht="15.75" customHeight="1">
      <c r="A574" s="30"/>
      <c r="B574" s="60"/>
      <c r="C574" s="26"/>
      <c r="D574" s="34"/>
      <c r="E574" s="34"/>
      <c r="F574" s="34"/>
      <c r="G574" s="30"/>
      <c r="I574" s="36"/>
      <c r="J574" s="36"/>
      <c r="K574" s="42"/>
    </row>
    <row r="575" ht="15.75" customHeight="1">
      <c r="A575" s="30"/>
      <c r="B575" s="60"/>
      <c r="C575" s="26"/>
      <c r="D575" s="34"/>
      <c r="E575" s="34"/>
      <c r="F575" s="34"/>
      <c r="G575" s="30"/>
      <c r="I575" s="36"/>
      <c r="J575" s="36"/>
      <c r="K575" s="42"/>
    </row>
    <row r="576" ht="15.75" customHeight="1">
      <c r="A576" s="30"/>
      <c r="B576" s="60"/>
      <c r="C576" s="26"/>
      <c r="D576" s="34"/>
      <c r="E576" s="34"/>
      <c r="F576" s="34"/>
      <c r="G576" s="30"/>
      <c r="I576" s="36"/>
      <c r="J576" s="36"/>
      <c r="K576" s="42"/>
    </row>
    <row r="577" ht="15.75" customHeight="1">
      <c r="A577" s="30"/>
      <c r="B577" s="60"/>
      <c r="C577" s="26"/>
      <c r="D577" s="34"/>
      <c r="E577" s="34"/>
      <c r="F577" s="34"/>
      <c r="G577" s="30"/>
      <c r="I577" s="36"/>
      <c r="J577" s="36"/>
      <c r="K577" s="42"/>
    </row>
    <row r="578" ht="15.75" customHeight="1">
      <c r="A578" s="30"/>
      <c r="B578" s="60"/>
      <c r="C578" s="26"/>
      <c r="D578" s="34"/>
      <c r="E578" s="34"/>
      <c r="F578" s="34"/>
      <c r="G578" s="30"/>
      <c r="I578" s="36"/>
      <c r="J578" s="36"/>
      <c r="K578" s="42"/>
    </row>
    <row r="579" ht="15.75" customHeight="1">
      <c r="A579" s="30"/>
      <c r="B579" s="60"/>
      <c r="C579" s="26"/>
      <c r="D579" s="34"/>
      <c r="E579" s="34"/>
      <c r="F579" s="34"/>
      <c r="G579" s="30"/>
      <c r="I579" s="36"/>
      <c r="J579" s="36"/>
      <c r="K579" s="42"/>
    </row>
    <row r="580" ht="15.75" customHeight="1">
      <c r="A580" s="30"/>
      <c r="B580" s="60"/>
      <c r="C580" s="26"/>
      <c r="D580" s="34"/>
      <c r="E580" s="34"/>
      <c r="F580" s="34"/>
      <c r="G580" s="30"/>
      <c r="I580" s="36"/>
      <c r="J580" s="36"/>
      <c r="K580" s="42"/>
    </row>
    <row r="581" ht="15.75" customHeight="1">
      <c r="A581" s="30"/>
      <c r="B581" s="60"/>
      <c r="C581" s="26"/>
      <c r="D581" s="34"/>
      <c r="E581" s="34"/>
      <c r="F581" s="34"/>
      <c r="G581" s="30"/>
      <c r="I581" s="36"/>
      <c r="J581" s="36"/>
      <c r="K581" s="42"/>
    </row>
    <row r="582" ht="15.75" customHeight="1">
      <c r="A582" s="30"/>
      <c r="B582" s="60"/>
      <c r="C582" s="26"/>
      <c r="D582" s="34"/>
      <c r="E582" s="34"/>
      <c r="F582" s="34"/>
      <c r="G582" s="30"/>
      <c r="I582" s="36"/>
      <c r="J582" s="36"/>
      <c r="K582" s="42"/>
    </row>
    <row r="583" ht="15.75" customHeight="1">
      <c r="A583" s="30"/>
      <c r="B583" s="60"/>
      <c r="C583" s="26"/>
      <c r="D583" s="34"/>
      <c r="E583" s="34"/>
      <c r="F583" s="34"/>
      <c r="G583" s="30"/>
      <c r="I583" s="36"/>
      <c r="J583" s="36"/>
      <c r="K583" s="42"/>
    </row>
    <row r="584" ht="15.75" customHeight="1">
      <c r="A584" s="30"/>
      <c r="B584" s="60"/>
      <c r="C584" s="26"/>
      <c r="D584" s="34"/>
      <c r="E584" s="34"/>
      <c r="F584" s="34"/>
      <c r="G584" s="30"/>
      <c r="I584" s="36"/>
      <c r="J584" s="36"/>
      <c r="K584" s="42"/>
    </row>
    <row r="585" ht="15.75" customHeight="1">
      <c r="A585" s="30"/>
      <c r="B585" s="60"/>
      <c r="C585" s="26"/>
      <c r="D585" s="34"/>
      <c r="E585" s="34"/>
      <c r="F585" s="34"/>
      <c r="G585" s="30"/>
      <c r="I585" s="36"/>
      <c r="J585" s="36"/>
      <c r="K585" s="42"/>
    </row>
    <row r="586" ht="15.75" customHeight="1">
      <c r="A586" s="30"/>
      <c r="B586" s="60"/>
      <c r="C586" s="26"/>
      <c r="D586" s="34"/>
      <c r="E586" s="34"/>
      <c r="F586" s="34"/>
      <c r="G586" s="30"/>
      <c r="I586" s="36"/>
      <c r="J586" s="36"/>
      <c r="K586" s="42"/>
    </row>
    <row r="587" ht="15.75" customHeight="1">
      <c r="A587" s="30"/>
      <c r="B587" s="60"/>
      <c r="C587" s="26"/>
      <c r="D587" s="34"/>
      <c r="E587" s="34"/>
      <c r="F587" s="34"/>
      <c r="G587" s="30"/>
      <c r="I587" s="36"/>
      <c r="J587" s="36"/>
      <c r="K587" s="42"/>
    </row>
    <row r="588" ht="15.75" customHeight="1">
      <c r="A588" s="30"/>
      <c r="B588" s="60"/>
      <c r="C588" s="26"/>
      <c r="D588" s="34"/>
      <c r="E588" s="34"/>
      <c r="F588" s="34"/>
      <c r="G588" s="30"/>
      <c r="I588" s="36"/>
      <c r="J588" s="36"/>
      <c r="K588" s="42"/>
    </row>
    <row r="589" ht="15.75" customHeight="1">
      <c r="A589" s="30"/>
      <c r="B589" s="60"/>
      <c r="C589" s="26"/>
      <c r="D589" s="34"/>
      <c r="E589" s="34"/>
      <c r="F589" s="34"/>
      <c r="G589" s="30"/>
      <c r="I589" s="36"/>
      <c r="J589" s="36"/>
      <c r="K589" s="42"/>
    </row>
    <row r="590" ht="15.75" customHeight="1">
      <c r="A590" s="30"/>
      <c r="B590" s="60"/>
      <c r="C590" s="26"/>
      <c r="D590" s="34"/>
      <c r="E590" s="34"/>
      <c r="F590" s="34"/>
      <c r="G590" s="30"/>
      <c r="I590" s="36"/>
      <c r="J590" s="36"/>
      <c r="K590" s="42"/>
    </row>
    <row r="591" ht="15.75" customHeight="1">
      <c r="A591" s="30"/>
      <c r="B591" s="60"/>
      <c r="C591" s="26"/>
      <c r="D591" s="34"/>
      <c r="E591" s="34"/>
      <c r="F591" s="34"/>
      <c r="G591" s="30"/>
      <c r="I591" s="36"/>
      <c r="J591" s="36"/>
      <c r="K591" s="42"/>
    </row>
    <row r="592" ht="15.75" customHeight="1">
      <c r="A592" s="30"/>
      <c r="B592" s="60"/>
      <c r="C592" s="26"/>
      <c r="D592" s="34"/>
      <c r="E592" s="34"/>
      <c r="F592" s="34"/>
      <c r="G592" s="30"/>
      <c r="I592" s="36"/>
      <c r="J592" s="36"/>
      <c r="K592" s="42"/>
    </row>
    <row r="593" ht="15.75" customHeight="1">
      <c r="A593" s="30"/>
      <c r="B593" s="60"/>
      <c r="C593" s="26"/>
      <c r="D593" s="34"/>
      <c r="E593" s="34"/>
      <c r="F593" s="34"/>
      <c r="G593" s="30"/>
      <c r="I593" s="36"/>
      <c r="J593" s="36"/>
      <c r="K593" s="42"/>
    </row>
    <row r="594" ht="15.75" customHeight="1">
      <c r="A594" s="30"/>
      <c r="B594" s="60"/>
      <c r="C594" s="26"/>
      <c r="D594" s="34"/>
      <c r="E594" s="34"/>
      <c r="F594" s="34"/>
      <c r="G594" s="30"/>
      <c r="I594" s="36"/>
      <c r="J594" s="36"/>
      <c r="K594" s="42"/>
    </row>
    <row r="595" ht="15.75" customHeight="1">
      <c r="A595" s="30"/>
      <c r="B595" s="60"/>
      <c r="C595" s="26"/>
      <c r="D595" s="34"/>
      <c r="E595" s="34"/>
      <c r="F595" s="34"/>
      <c r="G595" s="30"/>
      <c r="I595" s="36"/>
      <c r="J595" s="36"/>
      <c r="K595" s="42"/>
    </row>
    <row r="596" ht="15.75" customHeight="1">
      <c r="A596" s="30"/>
      <c r="B596" s="60"/>
      <c r="C596" s="26"/>
      <c r="D596" s="34"/>
      <c r="E596" s="34"/>
      <c r="F596" s="34"/>
      <c r="G596" s="30"/>
      <c r="I596" s="36"/>
      <c r="J596" s="36"/>
      <c r="K596" s="42"/>
    </row>
    <row r="597" ht="15.75" customHeight="1">
      <c r="A597" s="30"/>
      <c r="B597" s="60"/>
      <c r="C597" s="26"/>
      <c r="D597" s="34"/>
      <c r="E597" s="34"/>
      <c r="F597" s="34"/>
      <c r="G597" s="30"/>
      <c r="I597" s="36"/>
      <c r="J597" s="36"/>
      <c r="K597" s="42"/>
    </row>
    <row r="598" ht="15.75" customHeight="1">
      <c r="A598" s="30"/>
      <c r="B598" s="60"/>
      <c r="C598" s="26"/>
      <c r="D598" s="34"/>
      <c r="E598" s="34"/>
      <c r="F598" s="34"/>
      <c r="G598" s="30"/>
      <c r="I598" s="36"/>
      <c r="J598" s="36"/>
      <c r="K598" s="42"/>
    </row>
    <row r="599" ht="15.75" customHeight="1">
      <c r="A599" s="30"/>
      <c r="B599" s="60"/>
      <c r="C599" s="26"/>
      <c r="D599" s="34"/>
      <c r="E599" s="34"/>
      <c r="F599" s="34"/>
      <c r="G599" s="30"/>
      <c r="I599" s="36"/>
      <c r="J599" s="36"/>
      <c r="K599" s="42"/>
    </row>
    <row r="600" ht="15.75" customHeight="1">
      <c r="A600" s="30"/>
      <c r="B600" s="60"/>
      <c r="C600" s="26"/>
      <c r="D600" s="34"/>
      <c r="E600" s="34"/>
      <c r="F600" s="34"/>
      <c r="G600" s="30"/>
      <c r="I600" s="36"/>
      <c r="J600" s="36"/>
      <c r="K600" s="42"/>
    </row>
    <row r="601" ht="15.75" customHeight="1">
      <c r="A601" s="30"/>
      <c r="B601" s="60"/>
      <c r="C601" s="26"/>
      <c r="D601" s="34"/>
      <c r="E601" s="34"/>
      <c r="F601" s="34"/>
      <c r="G601" s="30"/>
      <c r="I601" s="36"/>
      <c r="J601" s="36"/>
      <c r="K601" s="42"/>
    </row>
    <row r="602" ht="15.75" customHeight="1">
      <c r="A602" s="30"/>
      <c r="B602" s="60"/>
      <c r="C602" s="26"/>
      <c r="D602" s="34"/>
      <c r="E602" s="34"/>
      <c r="F602" s="34"/>
      <c r="G602" s="30"/>
      <c r="I602" s="36"/>
      <c r="J602" s="36"/>
      <c r="K602" s="42"/>
    </row>
    <row r="603" ht="15.75" customHeight="1">
      <c r="A603" s="30"/>
      <c r="B603" s="60"/>
      <c r="C603" s="26"/>
      <c r="D603" s="34"/>
      <c r="E603" s="34"/>
      <c r="F603" s="34"/>
      <c r="G603" s="30"/>
      <c r="I603" s="36"/>
      <c r="J603" s="36"/>
      <c r="K603" s="42"/>
    </row>
    <row r="604" ht="15.75" customHeight="1">
      <c r="A604" s="30"/>
      <c r="B604" s="60"/>
      <c r="C604" s="26"/>
      <c r="D604" s="34"/>
      <c r="E604" s="34"/>
      <c r="F604" s="34"/>
      <c r="G604" s="30"/>
      <c r="I604" s="36"/>
      <c r="J604" s="36"/>
      <c r="K604" s="42"/>
    </row>
    <row r="605" ht="15.75" customHeight="1">
      <c r="A605" s="30"/>
      <c r="B605" s="60"/>
      <c r="C605" s="26"/>
      <c r="D605" s="34"/>
      <c r="E605" s="34"/>
      <c r="F605" s="34"/>
      <c r="G605" s="30"/>
      <c r="I605" s="36"/>
      <c r="J605" s="36"/>
      <c r="K605" s="42"/>
    </row>
    <row r="606" ht="15.75" customHeight="1">
      <c r="A606" s="30"/>
      <c r="B606" s="60"/>
      <c r="C606" s="26"/>
      <c r="D606" s="34"/>
      <c r="E606" s="34"/>
      <c r="F606" s="34"/>
      <c r="G606" s="30"/>
      <c r="I606" s="36"/>
      <c r="J606" s="36"/>
      <c r="K606" s="42"/>
    </row>
    <row r="607" ht="15.75" customHeight="1">
      <c r="A607" s="30"/>
      <c r="B607" s="60"/>
      <c r="C607" s="26"/>
      <c r="D607" s="34"/>
      <c r="E607" s="34"/>
      <c r="F607" s="34"/>
      <c r="G607" s="30"/>
      <c r="I607" s="36"/>
      <c r="J607" s="36"/>
      <c r="K607" s="42"/>
    </row>
    <row r="608" ht="15.75" customHeight="1">
      <c r="A608" s="30"/>
      <c r="B608" s="60"/>
      <c r="C608" s="26"/>
      <c r="D608" s="34"/>
      <c r="E608" s="34"/>
      <c r="F608" s="34"/>
      <c r="G608" s="30"/>
      <c r="I608" s="36"/>
      <c r="J608" s="36"/>
      <c r="K608" s="42"/>
    </row>
    <row r="609" ht="15.75" customHeight="1">
      <c r="A609" s="30"/>
      <c r="B609" s="60"/>
      <c r="C609" s="26"/>
      <c r="D609" s="34"/>
      <c r="E609" s="34"/>
      <c r="F609" s="34"/>
      <c r="G609" s="30"/>
      <c r="I609" s="36"/>
      <c r="J609" s="36"/>
      <c r="K609" s="42"/>
    </row>
    <row r="610" ht="15.75" customHeight="1">
      <c r="A610" s="30"/>
      <c r="B610" s="60"/>
      <c r="C610" s="26"/>
      <c r="D610" s="34"/>
      <c r="E610" s="34"/>
      <c r="F610" s="34"/>
      <c r="G610" s="30"/>
      <c r="I610" s="36"/>
      <c r="J610" s="36"/>
      <c r="K610" s="42"/>
    </row>
    <row r="611" ht="15.75" customHeight="1">
      <c r="A611" s="30"/>
      <c r="B611" s="60"/>
      <c r="C611" s="26"/>
      <c r="D611" s="34"/>
      <c r="E611" s="34"/>
      <c r="F611" s="34"/>
      <c r="G611" s="30"/>
      <c r="I611" s="36"/>
      <c r="J611" s="36"/>
      <c r="K611" s="42"/>
    </row>
    <row r="612" ht="15.75" customHeight="1">
      <c r="A612" s="30"/>
      <c r="B612" s="60"/>
      <c r="C612" s="26"/>
      <c r="D612" s="34"/>
      <c r="E612" s="34"/>
      <c r="F612" s="34"/>
      <c r="G612" s="30"/>
      <c r="I612" s="36"/>
      <c r="J612" s="36"/>
      <c r="K612" s="42"/>
    </row>
    <row r="613" ht="15.75" customHeight="1">
      <c r="A613" s="30"/>
      <c r="B613" s="60"/>
      <c r="C613" s="26"/>
      <c r="D613" s="34"/>
      <c r="E613" s="34"/>
      <c r="F613" s="34"/>
      <c r="G613" s="30"/>
      <c r="I613" s="36"/>
      <c r="J613" s="36"/>
      <c r="K613" s="42"/>
    </row>
    <row r="614" ht="15.75" customHeight="1">
      <c r="A614" s="30"/>
      <c r="B614" s="60"/>
      <c r="C614" s="26"/>
      <c r="D614" s="34"/>
      <c r="E614" s="34"/>
      <c r="F614" s="34"/>
      <c r="G614" s="30"/>
      <c r="I614" s="36"/>
      <c r="J614" s="36"/>
      <c r="K614" s="42"/>
    </row>
    <row r="615" ht="15.75" customHeight="1">
      <c r="A615" s="30"/>
      <c r="B615" s="60"/>
      <c r="C615" s="26"/>
      <c r="D615" s="34"/>
      <c r="E615" s="34"/>
      <c r="F615" s="34"/>
      <c r="G615" s="30"/>
      <c r="I615" s="36"/>
      <c r="J615" s="36"/>
      <c r="K615" s="42"/>
    </row>
    <row r="616" ht="15.75" customHeight="1">
      <c r="A616" s="30"/>
      <c r="B616" s="60"/>
      <c r="C616" s="26"/>
      <c r="D616" s="34"/>
      <c r="E616" s="34"/>
      <c r="F616" s="34"/>
      <c r="G616" s="30"/>
      <c r="I616" s="36"/>
      <c r="J616" s="36"/>
      <c r="K616" s="42"/>
    </row>
    <row r="617" ht="15.75" customHeight="1">
      <c r="A617" s="30"/>
      <c r="B617" s="60"/>
      <c r="C617" s="26"/>
      <c r="D617" s="34"/>
      <c r="E617" s="34"/>
      <c r="F617" s="34"/>
      <c r="G617" s="30"/>
      <c r="I617" s="36"/>
      <c r="J617" s="36"/>
      <c r="K617" s="42"/>
    </row>
    <row r="618" ht="15.75" customHeight="1">
      <c r="A618" s="30"/>
      <c r="B618" s="60"/>
      <c r="C618" s="26"/>
      <c r="D618" s="34"/>
      <c r="E618" s="34"/>
      <c r="F618" s="34"/>
      <c r="G618" s="30"/>
      <c r="I618" s="36"/>
      <c r="J618" s="36"/>
      <c r="K618" s="42"/>
    </row>
    <row r="619" ht="15.75" customHeight="1">
      <c r="A619" s="30"/>
      <c r="B619" s="60"/>
      <c r="C619" s="26"/>
      <c r="D619" s="34"/>
      <c r="E619" s="34"/>
      <c r="F619" s="34"/>
      <c r="G619" s="30"/>
      <c r="I619" s="36"/>
      <c r="J619" s="36"/>
      <c r="K619" s="42"/>
    </row>
    <row r="620" ht="15.75" customHeight="1">
      <c r="A620" s="30"/>
      <c r="B620" s="60"/>
      <c r="C620" s="26"/>
      <c r="D620" s="34"/>
      <c r="E620" s="34"/>
      <c r="F620" s="34"/>
      <c r="G620" s="30"/>
      <c r="I620" s="36"/>
      <c r="J620" s="36"/>
      <c r="K620" s="42"/>
    </row>
    <row r="621" ht="15.75" customHeight="1">
      <c r="A621" s="30"/>
      <c r="B621" s="60"/>
      <c r="C621" s="26"/>
      <c r="D621" s="34"/>
      <c r="E621" s="34"/>
      <c r="F621" s="34"/>
      <c r="G621" s="30"/>
      <c r="I621" s="36"/>
      <c r="J621" s="36"/>
      <c r="K621" s="42"/>
    </row>
    <row r="622" ht="15.75" customHeight="1">
      <c r="A622" s="30"/>
      <c r="B622" s="60"/>
      <c r="C622" s="26"/>
      <c r="D622" s="34"/>
      <c r="E622" s="34"/>
      <c r="F622" s="34"/>
      <c r="G622" s="30"/>
      <c r="I622" s="36"/>
      <c r="J622" s="36"/>
      <c r="K622" s="42"/>
    </row>
    <row r="623" ht="15.75" customHeight="1">
      <c r="A623" s="30"/>
      <c r="B623" s="60"/>
      <c r="C623" s="26"/>
      <c r="D623" s="34"/>
      <c r="E623" s="34"/>
      <c r="F623" s="34"/>
      <c r="G623" s="30"/>
      <c r="I623" s="36"/>
      <c r="J623" s="36"/>
      <c r="K623" s="42"/>
    </row>
    <row r="624" ht="15.75" customHeight="1">
      <c r="A624" s="30"/>
      <c r="B624" s="60"/>
      <c r="C624" s="26"/>
      <c r="D624" s="34"/>
      <c r="E624" s="34"/>
      <c r="F624" s="34"/>
      <c r="G624" s="30"/>
      <c r="I624" s="36"/>
      <c r="J624" s="36"/>
      <c r="K624" s="42"/>
    </row>
    <row r="625" ht="15.75" customHeight="1">
      <c r="A625" s="30"/>
      <c r="B625" s="60"/>
      <c r="C625" s="26"/>
      <c r="D625" s="34"/>
      <c r="E625" s="34"/>
      <c r="F625" s="34"/>
      <c r="G625" s="30"/>
      <c r="I625" s="36"/>
      <c r="J625" s="36"/>
      <c r="K625" s="42"/>
    </row>
    <row r="626" ht="15.75" customHeight="1">
      <c r="A626" s="30"/>
      <c r="B626" s="60"/>
      <c r="C626" s="26"/>
      <c r="D626" s="34"/>
      <c r="E626" s="34"/>
      <c r="F626" s="34"/>
      <c r="G626" s="30"/>
      <c r="I626" s="36"/>
      <c r="J626" s="36"/>
      <c r="K626" s="42"/>
    </row>
    <row r="627" ht="15.75" customHeight="1">
      <c r="A627" s="30"/>
      <c r="B627" s="60"/>
      <c r="C627" s="26"/>
      <c r="D627" s="34"/>
      <c r="E627" s="34"/>
      <c r="F627" s="34"/>
      <c r="G627" s="30"/>
      <c r="I627" s="36"/>
      <c r="J627" s="36"/>
      <c r="K627" s="42"/>
    </row>
    <row r="628" ht="15.75" customHeight="1">
      <c r="A628" s="30"/>
      <c r="B628" s="60"/>
      <c r="C628" s="26"/>
      <c r="D628" s="34"/>
      <c r="E628" s="34"/>
      <c r="F628" s="34"/>
      <c r="G628" s="30"/>
      <c r="I628" s="36"/>
      <c r="J628" s="36"/>
      <c r="K628" s="42"/>
    </row>
    <row r="629" ht="15.75" customHeight="1">
      <c r="A629" s="30"/>
      <c r="B629" s="60"/>
      <c r="C629" s="26"/>
      <c r="D629" s="34"/>
      <c r="E629" s="34"/>
      <c r="F629" s="34"/>
      <c r="G629" s="30"/>
      <c r="I629" s="36"/>
      <c r="J629" s="36"/>
      <c r="K629" s="42"/>
    </row>
    <row r="630" ht="15.75" customHeight="1">
      <c r="A630" s="30"/>
      <c r="B630" s="60"/>
      <c r="C630" s="26"/>
      <c r="D630" s="34"/>
      <c r="E630" s="34"/>
      <c r="F630" s="34"/>
      <c r="G630" s="30"/>
      <c r="I630" s="36"/>
      <c r="J630" s="36"/>
      <c r="K630" s="42"/>
    </row>
    <row r="631" ht="15.75" customHeight="1">
      <c r="A631" s="30"/>
      <c r="B631" s="60"/>
      <c r="C631" s="26"/>
      <c r="D631" s="34"/>
      <c r="E631" s="34"/>
      <c r="F631" s="34"/>
      <c r="G631" s="30"/>
      <c r="I631" s="36"/>
      <c r="J631" s="36"/>
      <c r="K631" s="42"/>
    </row>
    <row r="632" ht="15.75" customHeight="1">
      <c r="A632" s="30"/>
      <c r="B632" s="60"/>
      <c r="C632" s="26"/>
      <c r="D632" s="34"/>
      <c r="E632" s="34"/>
      <c r="F632" s="34"/>
      <c r="G632" s="30"/>
      <c r="I632" s="36"/>
      <c r="J632" s="36"/>
      <c r="K632" s="42"/>
    </row>
    <row r="633" ht="15.75" customHeight="1">
      <c r="A633" s="30"/>
      <c r="B633" s="60"/>
      <c r="C633" s="26"/>
      <c r="D633" s="34"/>
      <c r="E633" s="34"/>
      <c r="F633" s="34"/>
      <c r="G633" s="30"/>
      <c r="I633" s="36"/>
      <c r="J633" s="36"/>
      <c r="K633" s="42"/>
    </row>
    <row r="634" ht="15.75" customHeight="1">
      <c r="A634" s="30"/>
      <c r="B634" s="60"/>
      <c r="C634" s="26"/>
      <c r="D634" s="34"/>
      <c r="E634" s="34"/>
      <c r="F634" s="34"/>
      <c r="G634" s="30"/>
      <c r="I634" s="36"/>
      <c r="J634" s="36"/>
      <c r="K634" s="42"/>
    </row>
    <row r="635" ht="15.75" customHeight="1">
      <c r="A635" s="30"/>
      <c r="B635" s="60"/>
      <c r="C635" s="26"/>
      <c r="D635" s="34"/>
      <c r="E635" s="34"/>
      <c r="F635" s="34"/>
      <c r="G635" s="30"/>
      <c r="I635" s="36"/>
      <c r="J635" s="36"/>
      <c r="K635" s="42"/>
    </row>
    <row r="636" ht="15.75" customHeight="1">
      <c r="A636" s="30"/>
      <c r="B636" s="60"/>
      <c r="C636" s="26"/>
      <c r="D636" s="34"/>
      <c r="E636" s="34"/>
      <c r="F636" s="34"/>
      <c r="G636" s="30"/>
      <c r="I636" s="36"/>
      <c r="J636" s="36"/>
      <c r="K636" s="42"/>
    </row>
    <row r="637" ht="15.75" customHeight="1">
      <c r="A637" s="30"/>
      <c r="B637" s="60"/>
      <c r="C637" s="26"/>
      <c r="D637" s="34"/>
      <c r="E637" s="34"/>
      <c r="F637" s="34"/>
      <c r="G637" s="30"/>
      <c r="I637" s="36"/>
      <c r="J637" s="36"/>
      <c r="K637" s="42"/>
    </row>
    <row r="638" ht="15.75" customHeight="1">
      <c r="A638" s="30"/>
      <c r="B638" s="60"/>
      <c r="C638" s="26"/>
      <c r="D638" s="34"/>
      <c r="E638" s="34"/>
      <c r="F638" s="34"/>
      <c r="G638" s="30"/>
      <c r="I638" s="36"/>
      <c r="J638" s="36"/>
      <c r="K638" s="42"/>
    </row>
    <row r="639" ht="15.75" customHeight="1">
      <c r="A639" s="30"/>
      <c r="B639" s="60"/>
      <c r="C639" s="26"/>
      <c r="D639" s="34"/>
      <c r="E639" s="34"/>
      <c r="F639" s="34"/>
      <c r="G639" s="30"/>
      <c r="I639" s="36"/>
      <c r="J639" s="36"/>
      <c r="K639" s="42"/>
    </row>
    <row r="640" ht="15.75" customHeight="1">
      <c r="A640" s="30"/>
      <c r="B640" s="60"/>
      <c r="C640" s="26"/>
      <c r="D640" s="34"/>
      <c r="E640" s="34"/>
      <c r="F640" s="34"/>
      <c r="G640" s="30"/>
      <c r="I640" s="36"/>
      <c r="J640" s="36"/>
      <c r="K640" s="42"/>
    </row>
    <row r="641" ht="15.75" customHeight="1">
      <c r="A641" s="30"/>
      <c r="B641" s="60"/>
      <c r="C641" s="26"/>
      <c r="D641" s="34"/>
      <c r="E641" s="34"/>
      <c r="F641" s="34"/>
      <c r="G641" s="30"/>
      <c r="I641" s="36"/>
      <c r="J641" s="36"/>
      <c r="K641" s="42"/>
    </row>
    <row r="642" ht="15.75" customHeight="1">
      <c r="A642" s="30"/>
      <c r="B642" s="60"/>
      <c r="C642" s="26"/>
      <c r="D642" s="34"/>
      <c r="E642" s="34"/>
      <c r="F642" s="34"/>
      <c r="G642" s="30"/>
      <c r="I642" s="36"/>
      <c r="J642" s="36"/>
      <c r="K642" s="42"/>
    </row>
    <row r="643" ht="15.75" customHeight="1">
      <c r="A643" s="30"/>
      <c r="B643" s="60"/>
      <c r="C643" s="26"/>
      <c r="D643" s="34"/>
      <c r="E643" s="34"/>
      <c r="F643" s="34"/>
      <c r="G643" s="30"/>
      <c r="I643" s="36"/>
      <c r="J643" s="36"/>
      <c r="K643" s="42"/>
    </row>
    <row r="644" ht="15.75" customHeight="1">
      <c r="A644" s="30"/>
      <c r="B644" s="60"/>
      <c r="C644" s="26"/>
      <c r="D644" s="34"/>
      <c r="E644" s="34"/>
      <c r="F644" s="34"/>
      <c r="G644" s="30"/>
      <c r="I644" s="36"/>
      <c r="J644" s="36"/>
      <c r="K644" s="42"/>
    </row>
    <row r="645" ht="15.75" customHeight="1">
      <c r="A645" s="30"/>
      <c r="B645" s="60"/>
      <c r="C645" s="26"/>
      <c r="D645" s="34"/>
      <c r="E645" s="34"/>
      <c r="F645" s="34"/>
      <c r="G645" s="30"/>
      <c r="I645" s="36"/>
      <c r="J645" s="36"/>
      <c r="K645" s="42"/>
    </row>
    <row r="646" ht="15.75" customHeight="1">
      <c r="A646" s="30"/>
      <c r="B646" s="60"/>
      <c r="C646" s="26"/>
      <c r="D646" s="34"/>
      <c r="E646" s="34"/>
      <c r="F646" s="34"/>
      <c r="G646" s="30"/>
      <c r="I646" s="36"/>
      <c r="J646" s="36"/>
      <c r="K646" s="42"/>
    </row>
    <row r="647" ht="15.75" customHeight="1">
      <c r="A647" s="30"/>
      <c r="B647" s="60"/>
      <c r="C647" s="26"/>
      <c r="D647" s="34"/>
      <c r="E647" s="34"/>
      <c r="F647" s="34"/>
      <c r="G647" s="30"/>
      <c r="I647" s="36"/>
      <c r="J647" s="36"/>
      <c r="K647" s="42"/>
    </row>
    <row r="648" ht="15.75" customHeight="1">
      <c r="A648" s="30"/>
      <c r="B648" s="60"/>
      <c r="C648" s="26"/>
      <c r="D648" s="34"/>
      <c r="E648" s="34"/>
      <c r="F648" s="34"/>
      <c r="G648" s="30"/>
      <c r="I648" s="36"/>
      <c r="J648" s="36"/>
      <c r="K648" s="42"/>
    </row>
    <row r="649" ht="15.75" customHeight="1">
      <c r="A649" s="30"/>
      <c r="B649" s="60"/>
      <c r="C649" s="26"/>
      <c r="D649" s="34"/>
      <c r="E649" s="34"/>
      <c r="F649" s="34"/>
      <c r="G649" s="30"/>
      <c r="I649" s="36"/>
      <c r="J649" s="36"/>
      <c r="K649" s="42"/>
    </row>
    <row r="650" ht="15.75" customHeight="1">
      <c r="A650" s="30"/>
      <c r="B650" s="60"/>
      <c r="C650" s="26"/>
      <c r="D650" s="34"/>
      <c r="E650" s="34"/>
      <c r="F650" s="34"/>
      <c r="G650" s="30"/>
      <c r="I650" s="36"/>
      <c r="J650" s="36"/>
      <c r="K650" s="42"/>
    </row>
    <row r="651" ht="15.75" customHeight="1">
      <c r="A651" s="30"/>
      <c r="B651" s="60"/>
      <c r="C651" s="26"/>
      <c r="D651" s="34"/>
      <c r="E651" s="34"/>
      <c r="F651" s="34"/>
      <c r="G651" s="30"/>
      <c r="I651" s="36"/>
      <c r="J651" s="36"/>
      <c r="K651" s="42"/>
    </row>
    <row r="652" ht="15.75" customHeight="1">
      <c r="A652" s="30"/>
      <c r="B652" s="60"/>
      <c r="C652" s="26"/>
      <c r="D652" s="34"/>
      <c r="E652" s="34"/>
      <c r="F652" s="34"/>
      <c r="G652" s="30"/>
      <c r="I652" s="36"/>
      <c r="J652" s="36"/>
      <c r="K652" s="42"/>
    </row>
    <row r="653" ht="15.75" customHeight="1">
      <c r="A653" s="30"/>
      <c r="B653" s="60"/>
      <c r="C653" s="26"/>
      <c r="D653" s="34"/>
      <c r="E653" s="34"/>
      <c r="F653" s="34"/>
      <c r="G653" s="30"/>
      <c r="I653" s="36"/>
      <c r="J653" s="36"/>
      <c r="K653" s="42"/>
    </row>
    <row r="654" ht="15.75" customHeight="1">
      <c r="A654" s="30"/>
      <c r="B654" s="60"/>
      <c r="C654" s="26"/>
      <c r="D654" s="34"/>
      <c r="E654" s="34"/>
      <c r="F654" s="34"/>
      <c r="G654" s="30"/>
      <c r="I654" s="36"/>
      <c r="J654" s="36"/>
      <c r="K654" s="42"/>
    </row>
    <row r="655" ht="15.75" customHeight="1">
      <c r="A655" s="30"/>
      <c r="B655" s="60"/>
      <c r="C655" s="26"/>
      <c r="D655" s="34"/>
      <c r="E655" s="34"/>
      <c r="F655" s="34"/>
      <c r="G655" s="30"/>
      <c r="I655" s="36"/>
      <c r="J655" s="36"/>
      <c r="K655" s="42"/>
    </row>
    <row r="656" ht="15.75" customHeight="1">
      <c r="A656" s="30"/>
      <c r="B656" s="60"/>
      <c r="C656" s="26"/>
      <c r="D656" s="34"/>
      <c r="E656" s="34"/>
      <c r="F656" s="34"/>
      <c r="G656" s="30"/>
      <c r="I656" s="36"/>
      <c r="J656" s="36"/>
      <c r="K656" s="42"/>
    </row>
    <row r="657" ht="15.75" customHeight="1">
      <c r="A657" s="30"/>
      <c r="B657" s="60"/>
      <c r="C657" s="26"/>
      <c r="D657" s="34"/>
      <c r="E657" s="34"/>
      <c r="F657" s="34"/>
      <c r="G657" s="30"/>
      <c r="I657" s="36"/>
      <c r="J657" s="36"/>
      <c r="K657" s="42"/>
    </row>
    <row r="658" ht="15.75" customHeight="1">
      <c r="A658" s="30"/>
      <c r="B658" s="60"/>
      <c r="C658" s="26"/>
      <c r="D658" s="34"/>
      <c r="E658" s="34"/>
      <c r="F658" s="34"/>
      <c r="G658" s="30"/>
      <c r="I658" s="36"/>
      <c r="J658" s="36"/>
      <c r="K658" s="42"/>
    </row>
    <row r="659" ht="15.75" customHeight="1">
      <c r="A659" s="30"/>
      <c r="B659" s="60"/>
      <c r="C659" s="26"/>
      <c r="D659" s="34"/>
      <c r="E659" s="34"/>
      <c r="F659" s="34"/>
      <c r="G659" s="30"/>
      <c r="I659" s="36"/>
      <c r="J659" s="36"/>
      <c r="K659" s="42"/>
    </row>
    <row r="660" ht="15.75" customHeight="1">
      <c r="A660" s="30"/>
      <c r="B660" s="60"/>
      <c r="C660" s="26"/>
      <c r="D660" s="34"/>
      <c r="E660" s="34"/>
      <c r="F660" s="34"/>
      <c r="G660" s="30"/>
      <c r="I660" s="36"/>
      <c r="J660" s="36"/>
      <c r="K660" s="42"/>
    </row>
    <row r="661" ht="15.75" customHeight="1">
      <c r="A661" s="30"/>
      <c r="B661" s="60"/>
      <c r="C661" s="26"/>
      <c r="D661" s="34"/>
      <c r="E661" s="34"/>
      <c r="F661" s="34"/>
      <c r="G661" s="30"/>
      <c r="I661" s="36"/>
      <c r="J661" s="36"/>
      <c r="K661" s="42"/>
    </row>
    <row r="662" ht="15.75" customHeight="1">
      <c r="A662" s="30"/>
      <c r="B662" s="60"/>
      <c r="C662" s="26"/>
      <c r="D662" s="34"/>
      <c r="E662" s="34"/>
      <c r="F662" s="34"/>
      <c r="G662" s="30"/>
      <c r="I662" s="36"/>
      <c r="J662" s="36"/>
      <c r="K662" s="42"/>
    </row>
    <row r="663" ht="15.75" customHeight="1">
      <c r="A663" s="30"/>
      <c r="B663" s="60"/>
      <c r="C663" s="26"/>
      <c r="D663" s="34"/>
      <c r="E663" s="34"/>
      <c r="F663" s="34"/>
      <c r="G663" s="30"/>
      <c r="I663" s="36"/>
      <c r="J663" s="36"/>
      <c r="K663" s="42"/>
    </row>
    <row r="664" ht="15.75" customHeight="1">
      <c r="A664" s="30"/>
      <c r="B664" s="60"/>
      <c r="C664" s="26"/>
      <c r="D664" s="34"/>
      <c r="E664" s="34"/>
      <c r="F664" s="34"/>
      <c r="G664" s="30"/>
      <c r="I664" s="36"/>
      <c r="J664" s="36"/>
      <c r="K664" s="42"/>
    </row>
    <row r="665" ht="15.75" customHeight="1">
      <c r="A665" s="30"/>
      <c r="B665" s="60"/>
      <c r="C665" s="26"/>
      <c r="D665" s="34"/>
      <c r="E665" s="34"/>
      <c r="F665" s="34"/>
      <c r="G665" s="30"/>
      <c r="I665" s="36"/>
      <c r="J665" s="36"/>
      <c r="K665" s="42"/>
    </row>
    <row r="666" ht="15.75" customHeight="1">
      <c r="A666" s="30"/>
      <c r="B666" s="60"/>
      <c r="C666" s="26"/>
      <c r="D666" s="34"/>
      <c r="E666" s="34"/>
      <c r="F666" s="34"/>
      <c r="G666" s="30"/>
      <c r="I666" s="36"/>
      <c r="J666" s="36"/>
      <c r="K666" s="42"/>
    </row>
    <row r="667" ht="15.75" customHeight="1">
      <c r="A667" s="30"/>
      <c r="B667" s="60"/>
      <c r="C667" s="26"/>
      <c r="D667" s="34"/>
      <c r="E667" s="34"/>
      <c r="F667" s="34"/>
      <c r="G667" s="30"/>
      <c r="I667" s="36"/>
      <c r="J667" s="36"/>
      <c r="K667" s="42"/>
    </row>
    <row r="668" ht="15.75" customHeight="1">
      <c r="A668" s="30"/>
      <c r="B668" s="60"/>
      <c r="C668" s="26"/>
      <c r="D668" s="34"/>
      <c r="E668" s="34"/>
      <c r="F668" s="34"/>
      <c r="G668" s="30"/>
      <c r="I668" s="36"/>
      <c r="J668" s="36"/>
      <c r="K668" s="42"/>
    </row>
    <row r="669" ht="15.75" customHeight="1">
      <c r="A669" s="30"/>
      <c r="B669" s="60"/>
      <c r="C669" s="26"/>
      <c r="D669" s="34"/>
      <c r="E669" s="34"/>
      <c r="F669" s="34"/>
      <c r="G669" s="30"/>
      <c r="I669" s="36"/>
      <c r="J669" s="36"/>
      <c r="K669" s="42"/>
    </row>
    <row r="670" ht="15.75" customHeight="1">
      <c r="A670" s="30"/>
      <c r="B670" s="60"/>
      <c r="C670" s="26"/>
      <c r="D670" s="34"/>
      <c r="E670" s="34"/>
      <c r="F670" s="34"/>
      <c r="G670" s="30"/>
      <c r="I670" s="36"/>
      <c r="J670" s="36"/>
      <c r="K670" s="42"/>
    </row>
    <row r="671" ht="15.75" customHeight="1">
      <c r="A671" s="30"/>
      <c r="B671" s="60"/>
      <c r="C671" s="26"/>
      <c r="D671" s="34"/>
      <c r="E671" s="34"/>
      <c r="F671" s="34"/>
      <c r="G671" s="30"/>
      <c r="I671" s="36"/>
      <c r="J671" s="36"/>
      <c r="K671" s="42"/>
    </row>
    <row r="672" ht="15.75" customHeight="1">
      <c r="A672" s="30"/>
      <c r="B672" s="60"/>
      <c r="C672" s="26"/>
      <c r="D672" s="34"/>
      <c r="E672" s="34"/>
      <c r="F672" s="34"/>
      <c r="G672" s="30"/>
      <c r="I672" s="36"/>
      <c r="J672" s="36"/>
      <c r="K672" s="42"/>
    </row>
    <row r="673" ht="15.75" customHeight="1">
      <c r="A673" s="30"/>
      <c r="B673" s="60"/>
      <c r="C673" s="26"/>
      <c r="D673" s="34"/>
      <c r="E673" s="34"/>
      <c r="F673" s="34"/>
      <c r="G673" s="30"/>
      <c r="I673" s="36"/>
      <c r="J673" s="36"/>
      <c r="K673" s="42"/>
    </row>
    <row r="674" ht="15.75" customHeight="1">
      <c r="A674" s="30"/>
      <c r="B674" s="60"/>
      <c r="C674" s="26"/>
      <c r="D674" s="34"/>
      <c r="E674" s="34"/>
      <c r="F674" s="34"/>
      <c r="G674" s="30"/>
      <c r="I674" s="36"/>
      <c r="J674" s="36"/>
      <c r="K674" s="42"/>
    </row>
    <row r="675" ht="15.75" customHeight="1">
      <c r="A675" s="30"/>
      <c r="B675" s="60"/>
      <c r="C675" s="26"/>
      <c r="D675" s="34"/>
      <c r="E675" s="34"/>
      <c r="F675" s="34"/>
      <c r="G675" s="30"/>
      <c r="I675" s="36"/>
      <c r="J675" s="36"/>
      <c r="K675" s="42"/>
    </row>
    <row r="676" ht="15.75" customHeight="1">
      <c r="A676" s="30"/>
      <c r="B676" s="60"/>
      <c r="C676" s="26"/>
      <c r="D676" s="34"/>
      <c r="E676" s="34"/>
      <c r="F676" s="34"/>
      <c r="G676" s="30"/>
      <c r="I676" s="36"/>
      <c r="J676" s="36"/>
      <c r="K676" s="42"/>
    </row>
    <row r="677" ht="15.75" customHeight="1">
      <c r="A677" s="30"/>
      <c r="B677" s="60"/>
      <c r="C677" s="26"/>
      <c r="D677" s="34"/>
      <c r="E677" s="34"/>
      <c r="F677" s="34"/>
      <c r="G677" s="30"/>
      <c r="I677" s="36"/>
      <c r="J677" s="36"/>
      <c r="K677" s="42"/>
    </row>
    <row r="678" ht="15.75" customHeight="1">
      <c r="A678" s="30"/>
      <c r="B678" s="60"/>
      <c r="C678" s="26"/>
      <c r="D678" s="34"/>
      <c r="E678" s="34"/>
      <c r="F678" s="34"/>
      <c r="G678" s="30"/>
      <c r="I678" s="36"/>
      <c r="J678" s="36"/>
      <c r="K678" s="42"/>
    </row>
    <row r="679" ht="15.75" customHeight="1">
      <c r="A679" s="30"/>
      <c r="B679" s="60"/>
      <c r="C679" s="26"/>
      <c r="D679" s="34"/>
      <c r="E679" s="34"/>
      <c r="F679" s="34"/>
      <c r="G679" s="30"/>
      <c r="I679" s="36"/>
      <c r="J679" s="36"/>
      <c r="K679" s="42"/>
    </row>
    <row r="680" ht="15.75" customHeight="1">
      <c r="A680" s="30"/>
      <c r="B680" s="60"/>
      <c r="C680" s="26"/>
      <c r="D680" s="34"/>
      <c r="E680" s="34"/>
      <c r="F680" s="34"/>
      <c r="G680" s="30"/>
      <c r="I680" s="36"/>
      <c r="J680" s="36"/>
      <c r="K680" s="42"/>
    </row>
    <row r="681" ht="15.75" customHeight="1">
      <c r="A681" s="30"/>
      <c r="B681" s="60"/>
      <c r="C681" s="26"/>
      <c r="D681" s="34"/>
      <c r="E681" s="34"/>
      <c r="F681" s="34"/>
      <c r="G681" s="30"/>
      <c r="I681" s="36"/>
      <c r="J681" s="36"/>
      <c r="K681" s="42"/>
    </row>
    <row r="682" ht="15.75" customHeight="1">
      <c r="A682" s="30"/>
      <c r="B682" s="60"/>
      <c r="C682" s="26"/>
      <c r="D682" s="34"/>
      <c r="E682" s="34"/>
      <c r="F682" s="34"/>
      <c r="G682" s="30"/>
      <c r="I682" s="36"/>
      <c r="J682" s="36"/>
      <c r="K682" s="42"/>
    </row>
    <row r="683" ht="15.75" customHeight="1">
      <c r="A683" s="30"/>
      <c r="B683" s="60"/>
      <c r="C683" s="26"/>
      <c r="D683" s="34"/>
      <c r="E683" s="34"/>
      <c r="F683" s="34"/>
      <c r="G683" s="30"/>
      <c r="I683" s="36"/>
      <c r="J683" s="36"/>
      <c r="K683" s="42"/>
    </row>
    <row r="684" ht="15.75" customHeight="1">
      <c r="A684" s="30"/>
      <c r="B684" s="60"/>
      <c r="C684" s="26"/>
      <c r="D684" s="34"/>
      <c r="E684" s="34"/>
      <c r="F684" s="34"/>
      <c r="G684" s="30"/>
      <c r="I684" s="36"/>
      <c r="J684" s="36"/>
      <c r="K684" s="42"/>
    </row>
    <row r="685" ht="15.75" customHeight="1">
      <c r="A685" s="30"/>
      <c r="B685" s="60"/>
      <c r="C685" s="26"/>
      <c r="D685" s="34"/>
      <c r="E685" s="34"/>
      <c r="F685" s="34"/>
      <c r="G685" s="30"/>
      <c r="I685" s="36"/>
      <c r="J685" s="36"/>
      <c r="K685" s="42"/>
    </row>
    <row r="686" ht="15.75" customHeight="1">
      <c r="A686" s="30"/>
      <c r="B686" s="60"/>
      <c r="C686" s="26"/>
      <c r="D686" s="34"/>
      <c r="E686" s="34"/>
      <c r="F686" s="34"/>
      <c r="G686" s="30"/>
      <c r="I686" s="36"/>
      <c r="J686" s="36"/>
      <c r="K686" s="42"/>
    </row>
    <row r="687" ht="15.75" customHeight="1">
      <c r="A687" s="30"/>
      <c r="B687" s="60"/>
      <c r="C687" s="26"/>
      <c r="D687" s="34"/>
      <c r="E687" s="34"/>
      <c r="F687" s="34"/>
      <c r="G687" s="30"/>
      <c r="I687" s="36"/>
      <c r="J687" s="36"/>
      <c r="K687" s="42"/>
    </row>
    <row r="688" ht="15.75" customHeight="1">
      <c r="A688" s="30"/>
      <c r="B688" s="60"/>
      <c r="C688" s="26"/>
      <c r="D688" s="34"/>
      <c r="E688" s="34"/>
      <c r="F688" s="34"/>
      <c r="G688" s="30"/>
      <c r="I688" s="36"/>
      <c r="J688" s="36"/>
      <c r="K688" s="42"/>
    </row>
    <row r="689" ht="15.75" customHeight="1">
      <c r="A689" s="30"/>
      <c r="B689" s="60"/>
      <c r="C689" s="26"/>
      <c r="D689" s="34"/>
      <c r="E689" s="34"/>
      <c r="F689" s="34"/>
      <c r="G689" s="30"/>
      <c r="I689" s="36"/>
      <c r="J689" s="36"/>
      <c r="K689" s="42"/>
    </row>
    <row r="690" ht="15.75" customHeight="1">
      <c r="A690" s="30"/>
      <c r="B690" s="60"/>
      <c r="C690" s="26"/>
      <c r="D690" s="34"/>
      <c r="E690" s="34"/>
      <c r="F690" s="34"/>
      <c r="G690" s="30"/>
      <c r="I690" s="36"/>
      <c r="J690" s="36"/>
      <c r="K690" s="42"/>
    </row>
    <row r="691" ht="15.75" customHeight="1">
      <c r="A691" s="30"/>
      <c r="B691" s="60"/>
      <c r="C691" s="26"/>
      <c r="D691" s="34"/>
      <c r="E691" s="34"/>
      <c r="F691" s="34"/>
      <c r="G691" s="30"/>
      <c r="I691" s="36"/>
      <c r="J691" s="36"/>
      <c r="K691" s="42"/>
    </row>
    <row r="692" ht="15.75" customHeight="1">
      <c r="A692" s="30"/>
      <c r="B692" s="60"/>
      <c r="C692" s="26"/>
      <c r="D692" s="34"/>
      <c r="E692" s="34"/>
      <c r="F692" s="34"/>
      <c r="G692" s="30"/>
      <c r="I692" s="36"/>
      <c r="J692" s="36"/>
      <c r="K692" s="42"/>
    </row>
    <row r="693" ht="15.75" customHeight="1">
      <c r="A693" s="30"/>
      <c r="B693" s="60"/>
      <c r="C693" s="26"/>
      <c r="D693" s="34"/>
      <c r="E693" s="34"/>
      <c r="F693" s="34"/>
      <c r="G693" s="30"/>
      <c r="I693" s="36"/>
      <c r="J693" s="36"/>
      <c r="K693" s="42"/>
    </row>
    <row r="694" ht="15.75" customHeight="1">
      <c r="A694" s="30"/>
      <c r="B694" s="60"/>
      <c r="C694" s="26"/>
      <c r="D694" s="34"/>
      <c r="E694" s="34"/>
      <c r="F694" s="34"/>
      <c r="G694" s="30"/>
      <c r="I694" s="36"/>
      <c r="J694" s="36"/>
      <c r="K694" s="42"/>
    </row>
    <row r="695" ht="15.75" customHeight="1">
      <c r="A695" s="30"/>
      <c r="B695" s="60"/>
      <c r="C695" s="26"/>
      <c r="D695" s="34"/>
      <c r="E695" s="34"/>
      <c r="F695" s="34"/>
      <c r="G695" s="30"/>
      <c r="I695" s="36"/>
      <c r="J695" s="36"/>
      <c r="K695" s="42"/>
    </row>
    <row r="696" ht="15.75" customHeight="1">
      <c r="A696" s="30"/>
      <c r="B696" s="60"/>
      <c r="C696" s="26"/>
      <c r="D696" s="34"/>
      <c r="E696" s="34"/>
      <c r="F696" s="34"/>
      <c r="G696" s="30"/>
      <c r="I696" s="36"/>
      <c r="J696" s="36"/>
      <c r="K696" s="42"/>
    </row>
    <row r="697" ht="15.75" customHeight="1">
      <c r="A697" s="30"/>
      <c r="B697" s="60"/>
      <c r="C697" s="26"/>
      <c r="D697" s="34"/>
      <c r="E697" s="34"/>
      <c r="F697" s="34"/>
      <c r="G697" s="30"/>
      <c r="I697" s="36"/>
      <c r="J697" s="36"/>
      <c r="K697" s="42"/>
    </row>
    <row r="698" ht="15.75" customHeight="1">
      <c r="A698" s="30"/>
      <c r="B698" s="60"/>
      <c r="C698" s="26"/>
      <c r="D698" s="34"/>
      <c r="E698" s="34"/>
      <c r="F698" s="34"/>
      <c r="G698" s="30"/>
      <c r="I698" s="36"/>
      <c r="J698" s="36"/>
      <c r="K698" s="42"/>
    </row>
    <row r="699" ht="15.75" customHeight="1">
      <c r="A699" s="30"/>
      <c r="B699" s="60"/>
      <c r="C699" s="26"/>
      <c r="D699" s="34"/>
      <c r="E699" s="34"/>
      <c r="F699" s="34"/>
      <c r="G699" s="30"/>
      <c r="I699" s="36"/>
      <c r="J699" s="36"/>
      <c r="K699" s="42"/>
    </row>
    <row r="700" ht="15.75" customHeight="1">
      <c r="A700" s="30"/>
      <c r="B700" s="60"/>
      <c r="C700" s="26"/>
      <c r="D700" s="34"/>
      <c r="E700" s="34"/>
      <c r="F700" s="34"/>
      <c r="G700" s="30"/>
      <c r="I700" s="36"/>
      <c r="J700" s="36"/>
      <c r="K700" s="42"/>
    </row>
    <row r="701" ht="15.75" customHeight="1">
      <c r="A701" s="30"/>
      <c r="B701" s="60"/>
      <c r="C701" s="26"/>
      <c r="D701" s="34"/>
      <c r="E701" s="34"/>
      <c r="F701" s="34"/>
      <c r="G701" s="30"/>
      <c r="I701" s="36"/>
      <c r="J701" s="36"/>
      <c r="K701" s="42"/>
    </row>
    <row r="702" ht="15.75" customHeight="1">
      <c r="A702" s="30"/>
      <c r="B702" s="60"/>
      <c r="C702" s="26"/>
      <c r="D702" s="34"/>
      <c r="E702" s="34"/>
      <c r="F702" s="34"/>
      <c r="G702" s="30"/>
      <c r="I702" s="36"/>
      <c r="J702" s="36"/>
      <c r="K702" s="42"/>
    </row>
    <row r="703" ht="15.75" customHeight="1">
      <c r="A703" s="30"/>
      <c r="B703" s="60"/>
      <c r="C703" s="26"/>
      <c r="D703" s="34"/>
      <c r="E703" s="34"/>
      <c r="F703" s="34"/>
      <c r="G703" s="30"/>
      <c r="I703" s="36"/>
      <c r="J703" s="36"/>
      <c r="K703" s="42"/>
    </row>
    <row r="704" ht="15.75" customHeight="1">
      <c r="A704" s="30"/>
      <c r="B704" s="60"/>
      <c r="C704" s="26"/>
      <c r="D704" s="34"/>
      <c r="E704" s="34"/>
      <c r="F704" s="34"/>
      <c r="G704" s="30"/>
      <c r="I704" s="36"/>
      <c r="J704" s="36"/>
      <c r="K704" s="42"/>
    </row>
    <row r="705" ht="15.75" customHeight="1">
      <c r="A705" s="30"/>
      <c r="B705" s="60"/>
      <c r="C705" s="26"/>
      <c r="D705" s="34"/>
      <c r="E705" s="34"/>
      <c r="F705" s="34"/>
      <c r="G705" s="30"/>
      <c r="I705" s="36"/>
      <c r="J705" s="36"/>
      <c r="K705" s="42"/>
    </row>
    <row r="706" ht="15.75" customHeight="1">
      <c r="A706" s="30"/>
      <c r="B706" s="60"/>
      <c r="C706" s="26"/>
      <c r="D706" s="34"/>
      <c r="E706" s="34"/>
      <c r="F706" s="34"/>
      <c r="G706" s="30"/>
      <c r="I706" s="36"/>
      <c r="J706" s="36"/>
      <c r="K706" s="42"/>
    </row>
    <row r="707" ht="15.75" customHeight="1">
      <c r="A707" s="30"/>
      <c r="B707" s="60"/>
      <c r="C707" s="26"/>
      <c r="D707" s="34"/>
      <c r="E707" s="34"/>
      <c r="F707" s="34"/>
      <c r="G707" s="30"/>
      <c r="I707" s="36"/>
      <c r="J707" s="36"/>
      <c r="K707" s="42"/>
    </row>
    <row r="708" ht="15.75" customHeight="1">
      <c r="A708" s="30"/>
      <c r="B708" s="60"/>
      <c r="C708" s="26"/>
      <c r="D708" s="34"/>
      <c r="E708" s="34"/>
      <c r="F708" s="34"/>
      <c r="G708" s="30"/>
      <c r="I708" s="36"/>
      <c r="J708" s="36"/>
      <c r="K708" s="42"/>
    </row>
    <row r="709" ht="15.75" customHeight="1">
      <c r="A709" s="30"/>
      <c r="B709" s="60"/>
      <c r="C709" s="26"/>
      <c r="D709" s="34"/>
      <c r="E709" s="34"/>
      <c r="F709" s="34"/>
      <c r="G709" s="30"/>
      <c r="I709" s="36"/>
      <c r="J709" s="36"/>
      <c r="K709" s="42"/>
    </row>
    <row r="710" ht="15.75" customHeight="1">
      <c r="A710" s="30"/>
      <c r="B710" s="60"/>
      <c r="C710" s="26"/>
      <c r="D710" s="34"/>
      <c r="E710" s="34"/>
      <c r="F710" s="34"/>
      <c r="G710" s="30"/>
      <c r="I710" s="36"/>
      <c r="J710" s="36"/>
      <c r="K710" s="42"/>
    </row>
    <row r="711" ht="15.75" customHeight="1">
      <c r="A711" s="30"/>
      <c r="B711" s="60"/>
      <c r="C711" s="26"/>
      <c r="D711" s="34"/>
      <c r="E711" s="34"/>
      <c r="F711" s="34"/>
      <c r="G711" s="30"/>
      <c r="I711" s="36"/>
      <c r="J711" s="36"/>
      <c r="K711" s="42"/>
    </row>
    <row r="712" ht="15.75" customHeight="1">
      <c r="A712" s="30"/>
      <c r="B712" s="60"/>
      <c r="C712" s="26"/>
      <c r="D712" s="34"/>
      <c r="E712" s="34"/>
      <c r="F712" s="34"/>
      <c r="G712" s="30"/>
      <c r="I712" s="36"/>
      <c r="J712" s="36"/>
      <c r="K712" s="42"/>
    </row>
    <row r="713" ht="15.75" customHeight="1">
      <c r="A713" s="30"/>
      <c r="B713" s="60"/>
      <c r="C713" s="26"/>
      <c r="D713" s="34"/>
      <c r="E713" s="34"/>
      <c r="F713" s="34"/>
      <c r="G713" s="30"/>
      <c r="I713" s="36"/>
      <c r="J713" s="36"/>
      <c r="K713" s="42"/>
    </row>
    <row r="714" ht="15.75" customHeight="1">
      <c r="A714" s="30"/>
      <c r="B714" s="60"/>
      <c r="C714" s="26"/>
      <c r="D714" s="34"/>
      <c r="E714" s="34"/>
      <c r="F714" s="34"/>
      <c r="G714" s="30"/>
      <c r="I714" s="36"/>
      <c r="J714" s="36"/>
      <c r="K714" s="42"/>
    </row>
    <row r="715" ht="15.75" customHeight="1">
      <c r="A715" s="30"/>
      <c r="B715" s="60"/>
      <c r="C715" s="26"/>
      <c r="D715" s="34"/>
      <c r="E715" s="34"/>
      <c r="F715" s="34"/>
      <c r="G715" s="30"/>
      <c r="I715" s="36"/>
      <c r="J715" s="36"/>
      <c r="K715" s="42"/>
    </row>
    <row r="716" ht="15.75" customHeight="1">
      <c r="A716" s="30"/>
      <c r="B716" s="60"/>
      <c r="C716" s="26"/>
      <c r="D716" s="34"/>
      <c r="E716" s="34"/>
      <c r="F716" s="34"/>
      <c r="G716" s="30"/>
      <c r="I716" s="36"/>
      <c r="J716" s="36"/>
      <c r="K716" s="42"/>
    </row>
    <row r="717" ht="15.75" customHeight="1">
      <c r="A717" s="30"/>
      <c r="B717" s="60"/>
      <c r="C717" s="26"/>
      <c r="D717" s="34"/>
      <c r="E717" s="34"/>
      <c r="F717" s="34"/>
      <c r="G717" s="30"/>
      <c r="I717" s="36"/>
      <c r="J717" s="36"/>
      <c r="K717" s="42"/>
    </row>
    <row r="718" ht="15.75" customHeight="1">
      <c r="A718" s="30"/>
      <c r="B718" s="60"/>
      <c r="C718" s="26"/>
      <c r="D718" s="34"/>
      <c r="E718" s="34"/>
      <c r="F718" s="34"/>
      <c r="G718" s="30"/>
      <c r="I718" s="36"/>
      <c r="J718" s="36"/>
      <c r="K718" s="42"/>
    </row>
    <row r="719" ht="15.75" customHeight="1">
      <c r="A719" s="30"/>
      <c r="B719" s="60"/>
      <c r="C719" s="26"/>
      <c r="D719" s="34"/>
      <c r="E719" s="34"/>
      <c r="F719" s="34"/>
      <c r="G719" s="30"/>
      <c r="I719" s="36"/>
      <c r="J719" s="36"/>
      <c r="K719" s="42"/>
    </row>
    <row r="720" ht="15.75" customHeight="1">
      <c r="A720" s="30"/>
      <c r="B720" s="60"/>
      <c r="C720" s="26"/>
      <c r="D720" s="34"/>
      <c r="E720" s="34"/>
      <c r="F720" s="34"/>
      <c r="G720" s="30"/>
      <c r="I720" s="36"/>
      <c r="J720" s="36"/>
      <c r="K720" s="42"/>
    </row>
    <row r="721" ht="15.75" customHeight="1">
      <c r="A721" s="30"/>
      <c r="B721" s="60"/>
      <c r="C721" s="26"/>
      <c r="D721" s="34"/>
      <c r="E721" s="34"/>
      <c r="F721" s="34"/>
      <c r="G721" s="30"/>
      <c r="I721" s="36"/>
      <c r="J721" s="36"/>
      <c r="K721" s="42"/>
    </row>
    <row r="722" ht="15.75" customHeight="1">
      <c r="A722" s="30"/>
      <c r="B722" s="60"/>
      <c r="C722" s="26"/>
      <c r="D722" s="34"/>
      <c r="E722" s="34"/>
      <c r="F722" s="34"/>
      <c r="G722" s="30"/>
      <c r="I722" s="36"/>
      <c r="J722" s="36"/>
      <c r="K722" s="42"/>
    </row>
    <row r="723" ht="15.75" customHeight="1">
      <c r="A723" s="30"/>
      <c r="B723" s="60"/>
      <c r="C723" s="26"/>
      <c r="D723" s="34"/>
      <c r="E723" s="34"/>
      <c r="F723" s="34"/>
      <c r="G723" s="30"/>
      <c r="I723" s="36"/>
      <c r="J723" s="36"/>
      <c r="K723" s="42"/>
    </row>
    <row r="724" ht="15.75" customHeight="1">
      <c r="A724" s="30"/>
      <c r="B724" s="60"/>
      <c r="C724" s="26"/>
      <c r="D724" s="34"/>
      <c r="E724" s="34"/>
      <c r="F724" s="34"/>
      <c r="G724" s="30"/>
      <c r="I724" s="36"/>
      <c r="J724" s="36"/>
      <c r="K724" s="42"/>
    </row>
    <row r="725" ht="15.75" customHeight="1">
      <c r="A725" s="30"/>
      <c r="B725" s="60"/>
      <c r="C725" s="26"/>
      <c r="D725" s="34"/>
      <c r="E725" s="34"/>
      <c r="F725" s="34"/>
      <c r="G725" s="30"/>
      <c r="I725" s="36"/>
      <c r="J725" s="36"/>
      <c r="K725" s="42"/>
    </row>
    <row r="726" ht="15.75" customHeight="1">
      <c r="A726" s="30"/>
      <c r="B726" s="60"/>
      <c r="C726" s="26"/>
      <c r="D726" s="34"/>
      <c r="E726" s="34"/>
      <c r="F726" s="34"/>
      <c r="G726" s="30"/>
      <c r="I726" s="36"/>
      <c r="J726" s="36"/>
      <c r="K726" s="42"/>
    </row>
    <row r="727" ht="15.75" customHeight="1">
      <c r="A727" s="30"/>
      <c r="B727" s="60"/>
      <c r="C727" s="26"/>
      <c r="D727" s="34"/>
      <c r="E727" s="34"/>
      <c r="F727" s="34"/>
      <c r="G727" s="30"/>
      <c r="I727" s="36"/>
      <c r="J727" s="36"/>
      <c r="K727" s="42"/>
    </row>
    <row r="728" ht="15.75" customHeight="1">
      <c r="A728" s="30"/>
      <c r="B728" s="60"/>
      <c r="C728" s="26"/>
      <c r="D728" s="34"/>
      <c r="E728" s="34"/>
      <c r="F728" s="34"/>
      <c r="G728" s="30"/>
      <c r="I728" s="36"/>
      <c r="J728" s="36"/>
      <c r="K728" s="42"/>
    </row>
    <row r="729" ht="15.75" customHeight="1">
      <c r="A729" s="30"/>
      <c r="B729" s="60"/>
      <c r="C729" s="26"/>
      <c r="D729" s="34"/>
      <c r="E729" s="34"/>
      <c r="F729" s="34"/>
      <c r="G729" s="30"/>
      <c r="I729" s="36"/>
      <c r="J729" s="36"/>
      <c r="K729" s="42"/>
    </row>
    <row r="730" ht="15.75" customHeight="1">
      <c r="A730" s="30"/>
      <c r="B730" s="60"/>
      <c r="C730" s="26"/>
      <c r="D730" s="34"/>
      <c r="E730" s="34"/>
      <c r="F730" s="34"/>
      <c r="G730" s="30"/>
      <c r="I730" s="36"/>
      <c r="J730" s="36"/>
      <c r="K730" s="42"/>
    </row>
    <row r="731" ht="15.75" customHeight="1">
      <c r="A731" s="30"/>
      <c r="B731" s="60"/>
      <c r="C731" s="26"/>
      <c r="D731" s="34"/>
      <c r="E731" s="34"/>
      <c r="F731" s="34"/>
      <c r="G731" s="30"/>
      <c r="I731" s="36"/>
      <c r="J731" s="36"/>
      <c r="K731" s="42"/>
    </row>
    <row r="732" ht="15.75" customHeight="1">
      <c r="A732" s="30"/>
      <c r="B732" s="60"/>
      <c r="C732" s="26"/>
      <c r="D732" s="34"/>
      <c r="E732" s="34"/>
      <c r="F732" s="34"/>
      <c r="G732" s="30"/>
      <c r="I732" s="36"/>
      <c r="J732" s="36"/>
      <c r="K732" s="42"/>
    </row>
    <row r="733" ht="15.75" customHeight="1">
      <c r="A733" s="30"/>
      <c r="B733" s="60"/>
      <c r="C733" s="26"/>
      <c r="D733" s="34"/>
      <c r="E733" s="34"/>
      <c r="F733" s="34"/>
      <c r="G733" s="30"/>
      <c r="I733" s="36"/>
      <c r="J733" s="36"/>
      <c r="K733" s="42"/>
    </row>
    <row r="734" ht="15.75" customHeight="1">
      <c r="A734" s="30"/>
      <c r="B734" s="60"/>
      <c r="C734" s="26"/>
      <c r="D734" s="34"/>
      <c r="E734" s="34"/>
      <c r="F734" s="34"/>
      <c r="G734" s="30"/>
      <c r="I734" s="36"/>
      <c r="J734" s="36"/>
      <c r="K734" s="42"/>
    </row>
    <row r="735" ht="15.75" customHeight="1">
      <c r="A735" s="30"/>
      <c r="B735" s="60"/>
      <c r="C735" s="26"/>
      <c r="D735" s="34"/>
      <c r="E735" s="34"/>
      <c r="F735" s="34"/>
      <c r="G735" s="30"/>
      <c r="I735" s="36"/>
      <c r="J735" s="36"/>
      <c r="K735" s="42"/>
    </row>
    <row r="736" ht="15.75" customHeight="1">
      <c r="A736" s="30"/>
      <c r="B736" s="60"/>
      <c r="C736" s="26"/>
      <c r="D736" s="34"/>
      <c r="E736" s="34"/>
      <c r="F736" s="34"/>
      <c r="G736" s="30"/>
      <c r="I736" s="36"/>
      <c r="J736" s="36"/>
      <c r="K736" s="42"/>
    </row>
    <row r="737" ht="15.75" customHeight="1">
      <c r="A737" s="30"/>
      <c r="B737" s="60"/>
      <c r="C737" s="26"/>
      <c r="D737" s="34"/>
      <c r="E737" s="34"/>
      <c r="F737" s="34"/>
      <c r="G737" s="30"/>
      <c r="I737" s="36"/>
      <c r="J737" s="36"/>
      <c r="K737" s="42"/>
    </row>
    <row r="738" ht="15.75" customHeight="1">
      <c r="A738" s="30"/>
      <c r="B738" s="60"/>
      <c r="C738" s="26"/>
      <c r="D738" s="34"/>
      <c r="E738" s="34"/>
      <c r="F738" s="34"/>
      <c r="G738" s="30"/>
      <c r="I738" s="36"/>
      <c r="J738" s="36"/>
      <c r="K738" s="42"/>
    </row>
    <row r="739" ht="15.75" customHeight="1">
      <c r="A739" s="30"/>
      <c r="B739" s="60"/>
      <c r="C739" s="26"/>
      <c r="D739" s="34"/>
      <c r="E739" s="34"/>
      <c r="F739" s="34"/>
      <c r="G739" s="30"/>
      <c r="I739" s="36"/>
      <c r="J739" s="36"/>
      <c r="K739" s="42"/>
    </row>
    <row r="740" ht="15.75" customHeight="1">
      <c r="A740" s="30"/>
      <c r="B740" s="60"/>
      <c r="C740" s="26"/>
      <c r="D740" s="34"/>
      <c r="E740" s="34"/>
      <c r="F740" s="34"/>
      <c r="G740" s="30"/>
      <c r="I740" s="36"/>
      <c r="J740" s="36"/>
      <c r="K740" s="42"/>
    </row>
    <row r="741" ht="15.75" customHeight="1">
      <c r="A741" s="30"/>
      <c r="B741" s="60"/>
      <c r="C741" s="26"/>
      <c r="D741" s="34"/>
      <c r="E741" s="34"/>
      <c r="F741" s="34"/>
      <c r="G741" s="30"/>
      <c r="I741" s="36"/>
      <c r="J741" s="36"/>
      <c r="K741" s="42"/>
    </row>
    <row r="742" ht="15.75" customHeight="1">
      <c r="A742" s="30"/>
      <c r="B742" s="60"/>
      <c r="C742" s="26"/>
      <c r="D742" s="34"/>
      <c r="E742" s="34"/>
      <c r="F742" s="34"/>
      <c r="G742" s="30"/>
      <c r="I742" s="36"/>
      <c r="J742" s="36"/>
      <c r="K742" s="42"/>
    </row>
    <row r="743" ht="15.75" customHeight="1">
      <c r="A743" s="30"/>
      <c r="B743" s="60"/>
      <c r="C743" s="26"/>
      <c r="D743" s="34"/>
      <c r="E743" s="34"/>
      <c r="F743" s="34"/>
      <c r="G743" s="30"/>
      <c r="I743" s="36"/>
      <c r="J743" s="36"/>
      <c r="K743" s="42"/>
    </row>
    <row r="744" ht="15.75" customHeight="1">
      <c r="A744" s="30"/>
      <c r="B744" s="60"/>
      <c r="C744" s="26"/>
      <c r="D744" s="34"/>
      <c r="E744" s="34"/>
      <c r="F744" s="34"/>
      <c r="G744" s="30"/>
      <c r="I744" s="36"/>
      <c r="J744" s="36"/>
      <c r="K744" s="42"/>
    </row>
    <row r="745" ht="15.75" customHeight="1">
      <c r="A745" s="30"/>
      <c r="B745" s="60"/>
      <c r="C745" s="26"/>
      <c r="D745" s="34"/>
      <c r="E745" s="34"/>
      <c r="F745" s="34"/>
      <c r="G745" s="30"/>
      <c r="I745" s="36"/>
      <c r="J745" s="36"/>
      <c r="K745" s="42"/>
    </row>
    <row r="746" ht="15.75" customHeight="1">
      <c r="A746" s="30"/>
      <c r="B746" s="60"/>
      <c r="C746" s="26"/>
      <c r="D746" s="34"/>
      <c r="E746" s="34"/>
      <c r="F746" s="34"/>
      <c r="G746" s="30"/>
      <c r="I746" s="36"/>
      <c r="J746" s="36"/>
      <c r="K746" s="42"/>
    </row>
    <row r="747" ht="15.75" customHeight="1">
      <c r="A747" s="30"/>
      <c r="B747" s="60"/>
      <c r="C747" s="26"/>
      <c r="D747" s="34"/>
      <c r="E747" s="34"/>
      <c r="F747" s="34"/>
      <c r="G747" s="30"/>
      <c r="I747" s="36"/>
      <c r="J747" s="36"/>
      <c r="K747" s="42"/>
    </row>
    <row r="748" ht="15.75" customHeight="1">
      <c r="A748" s="30"/>
      <c r="B748" s="60"/>
      <c r="C748" s="26"/>
      <c r="D748" s="34"/>
      <c r="E748" s="34"/>
      <c r="F748" s="34"/>
      <c r="G748" s="30"/>
      <c r="I748" s="36"/>
      <c r="J748" s="36"/>
      <c r="K748" s="42"/>
    </row>
    <row r="749" ht="15.75" customHeight="1">
      <c r="A749" s="30"/>
      <c r="B749" s="60"/>
      <c r="C749" s="26"/>
      <c r="D749" s="34"/>
      <c r="E749" s="34"/>
      <c r="F749" s="34"/>
      <c r="G749" s="30"/>
      <c r="I749" s="36"/>
      <c r="J749" s="36"/>
      <c r="K749" s="42"/>
    </row>
    <row r="750" ht="15.75" customHeight="1">
      <c r="A750" s="30"/>
      <c r="B750" s="60"/>
      <c r="C750" s="26"/>
      <c r="D750" s="34"/>
      <c r="E750" s="34"/>
      <c r="F750" s="34"/>
      <c r="G750" s="30"/>
      <c r="I750" s="36"/>
      <c r="J750" s="36"/>
      <c r="K750" s="42"/>
    </row>
    <row r="751" ht="15.75" customHeight="1">
      <c r="A751" s="30"/>
      <c r="B751" s="60"/>
      <c r="C751" s="26"/>
      <c r="D751" s="34"/>
      <c r="E751" s="34"/>
      <c r="F751" s="34"/>
      <c r="G751" s="30"/>
      <c r="I751" s="36"/>
      <c r="J751" s="36"/>
      <c r="K751" s="42"/>
    </row>
    <row r="752" ht="15.75" customHeight="1">
      <c r="A752" s="30"/>
      <c r="B752" s="60"/>
      <c r="C752" s="26"/>
      <c r="D752" s="34"/>
      <c r="E752" s="34"/>
      <c r="F752" s="34"/>
      <c r="G752" s="30"/>
      <c r="I752" s="36"/>
      <c r="J752" s="36"/>
      <c r="K752" s="42"/>
    </row>
    <row r="753" ht="15.75" customHeight="1">
      <c r="A753" s="30"/>
      <c r="B753" s="60"/>
      <c r="C753" s="26"/>
      <c r="D753" s="34"/>
      <c r="E753" s="34"/>
      <c r="F753" s="34"/>
      <c r="G753" s="30"/>
      <c r="I753" s="36"/>
      <c r="J753" s="36"/>
      <c r="K753" s="42"/>
    </row>
    <row r="754" ht="15.75" customHeight="1">
      <c r="A754" s="30"/>
      <c r="B754" s="60"/>
      <c r="C754" s="26"/>
      <c r="D754" s="34"/>
      <c r="E754" s="34"/>
      <c r="F754" s="34"/>
      <c r="G754" s="30"/>
      <c r="I754" s="36"/>
      <c r="J754" s="36"/>
      <c r="K754" s="42"/>
    </row>
    <row r="755" ht="15.75" customHeight="1">
      <c r="A755" s="30"/>
      <c r="B755" s="60"/>
      <c r="C755" s="26"/>
      <c r="D755" s="34"/>
      <c r="E755" s="34"/>
      <c r="F755" s="34"/>
      <c r="G755" s="30"/>
      <c r="I755" s="36"/>
      <c r="J755" s="36"/>
      <c r="K755" s="42"/>
    </row>
    <row r="756" ht="15.75" customHeight="1">
      <c r="A756" s="30"/>
      <c r="B756" s="60"/>
      <c r="C756" s="26"/>
      <c r="D756" s="34"/>
      <c r="E756" s="34"/>
      <c r="F756" s="34"/>
      <c r="G756" s="30"/>
      <c r="I756" s="36"/>
      <c r="J756" s="36"/>
      <c r="K756" s="42"/>
    </row>
    <row r="757" ht="15.75" customHeight="1">
      <c r="A757" s="30"/>
      <c r="B757" s="60"/>
      <c r="C757" s="26"/>
      <c r="D757" s="34"/>
      <c r="E757" s="34"/>
      <c r="F757" s="34"/>
      <c r="G757" s="30"/>
      <c r="I757" s="36"/>
      <c r="J757" s="36"/>
      <c r="K757" s="42"/>
    </row>
    <row r="758" ht="15.75" customHeight="1">
      <c r="A758" s="30"/>
      <c r="B758" s="60"/>
      <c r="C758" s="26"/>
      <c r="D758" s="34"/>
      <c r="E758" s="34"/>
      <c r="F758" s="34"/>
      <c r="G758" s="30"/>
      <c r="I758" s="36"/>
      <c r="J758" s="36"/>
      <c r="K758" s="42"/>
    </row>
    <row r="759" ht="15.75" customHeight="1">
      <c r="A759" s="30"/>
      <c r="B759" s="60"/>
      <c r="C759" s="26"/>
      <c r="D759" s="34"/>
      <c r="E759" s="34"/>
      <c r="F759" s="34"/>
      <c r="G759" s="30"/>
      <c r="I759" s="36"/>
      <c r="J759" s="36"/>
      <c r="K759" s="42"/>
    </row>
    <row r="760" ht="15.75" customHeight="1">
      <c r="A760" s="30"/>
      <c r="B760" s="60"/>
      <c r="C760" s="26"/>
      <c r="D760" s="34"/>
      <c r="E760" s="34"/>
      <c r="F760" s="34"/>
      <c r="G760" s="30"/>
      <c r="I760" s="36"/>
      <c r="J760" s="36"/>
      <c r="K760" s="42"/>
    </row>
    <row r="761" ht="15.75" customHeight="1">
      <c r="A761" s="30"/>
      <c r="B761" s="60"/>
      <c r="C761" s="26"/>
      <c r="D761" s="34"/>
      <c r="E761" s="34"/>
      <c r="F761" s="34"/>
      <c r="G761" s="30"/>
      <c r="I761" s="36"/>
      <c r="J761" s="36"/>
      <c r="K761" s="42"/>
    </row>
    <row r="762" ht="15.75" customHeight="1">
      <c r="A762" s="30"/>
      <c r="B762" s="60"/>
      <c r="C762" s="26"/>
      <c r="D762" s="34"/>
      <c r="E762" s="34"/>
      <c r="F762" s="34"/>
      <c r="G762" s="30"/>
      <c r="I762" s="36"/>
      <c r="J762" s="36"/>
      <c r="K762" s="42"/>
    </row>
    <row r="763" ht="15.75" customHeight="1">
      <c r="A763" s="30"/>
      <c r="B763" s="60"/>
      <c r="C763" s="26"/>
      <c r="D763" s="34"/>
      <c r="E763" s="34"/>
      <c r="F763" s="34"/>
      <c r="G763" s="30"/>
      <c r="I763" s="36"/>
      <c r="J763" s="36"/>
      <c r="K763" s="42"/>
    </row>
    <row r="764" ht="15.75" customHeight="1">
      <c r="A764" s="30"/>
      <c r="B764" s="60"/>
      <c r="C764" s="26"/>
      <c r="D764" s="34"/>
      <c r="E764" s="34"/>
      <c r="F764" s="34"/>
      <c r="G764" s="30"/>
      <c r="I764" s="36"/>
      <c r="J764" s="36"/>
      <c r="K764" s="42"/>
    </row>
    <row r="765" ht="15.75" customHeight="1">
      <c r="A765" s="30"/>
      <c r="B765" s="60"/>
      <c r="C765" s="26"/>
      <c r="D765" s="34"/>
      <c r="E765" s="34"/>
      <c r="F765" s="34"/>
      <c r="G765" s="30"/>
      <c r="I765" s="36"/>
      <c r="J765" s="36"/>
      <c r="K765" s="42"/>
    </row>
    <row r="766" ht="15.75" customHeight="1">
      <c r="A766" s="30"/>
      <c r="B766" s="60"/>
      <c r="C766" s="26"/>
      <c r="D766" s="34"/>
      <c r="E766" s="34"/>
      <c r="F766" s="34"/>
      <c r="G766" s="30"/>
      <c r="I766" s="36"/>
      <c r="J766" s="36"/>
      <c r="K766" s="42"/>
    </row>
    <row r="767" ht="15.75" customHeight="1">
      <c r="A767" s="30"/>
      <c r="B767" s="60"/>
      <c r="C767" s="26"/>
      <c r="D767" s="34"/>
      <c r="E767" s="34"/>
      <c r="F767" s="34"/>
      <c r="G767" s="30"/>
      <c r="I767" s="36"/>
      <c r="J767" s="36"/>
      <c r="K767" s="42"/>
    </row>
    <row r="768" ht="15.75" customHeight="1">
      <c r="A768" s="30"/>
      <c r="B768" s="60"/>
      <c r="C768" s="26"/>
      <c r="D768" s="34"/>
      <c r="E768" s="34"/>
      <c r="F768" s="34"/>
      <c r="G768" s="30"/>
      <c r="I768" s="36"/>
      <c r="J768" s="36"/>
      <c r="K768" s="42"/>
    </row>
    <row r="769" ht="15.75" customHeight="1">
      <c r="A769" s="30"/>
      <c r="B769" s="60"/>
      <c r="C769" s="26"/>
      <c r="D769" s="34"/>
      <c r="E769" s="34"/>
      <c r="F769" s="34"/>
      <c r="G769" s="30"/>
      <c r="I769" s="36"/>
      <c r="J769" s="36"/>
      <c r="K769" s="42"/>
    </row>
    <row r="770" ht="15.75" customHeight="1">
      <c r="A770" s="30"/>
      <c r="B770" s="60"/>
      <c r="C770" s="26"/>
      <c r="D770" s="34"/>
      <c r="E770" s="34"/>
      <c r="F770" s="34"/>
      <c r="G770" s="30"/>
      <c r="I770" s="36"/>
      <c r="J770" s="36"/>
      <c r="K770" s="42"/>
    </row>
    <row r="771" ht="15.75" customHeight="1">
      <c r="A771" s="30"/>
      <c r="B771" s="60"/>
      <c r="C771" s="26"/>
      <c r="D771" s="34"/>
      <c r="E771" s="34"/>
      <c r="F771" s="34"/>
      <c r="G771" s="30"/>
      <c r="I771" s="36"/>
      <c r="J771" s="36"/>
      <c r="K771" s="42"/>
    </row>
    <row r="772" ht="15.75" customHeight="1">
      <c r="A772" s="30"/>
      <c r="B772" s="60"/>
      <c r="C772" s="26"/>
      <c r="D772" s="34"/>
      <c r="E772" s="34"/>
      <c r="F772" s="34"/>
      <c r="G772" s="30"/>
      <c r="I772" s="36"/>
      <c r="J772" s="36"/>
      <c r="K772" s="42"/>
    </row>
    <row r="773" ht="15.75" customHeight="1">
      <c r="A773" s="30"/>
      <c r="B773" s="60"/>
      <c r="C773" s="26"/>
      <c r="D773" s="34"/>
      <c r="E773" s="34"/>
      <c r="F773" s="34"/>
      <c r="G773" s="30"/>
      <c r="I773" s="36"/>
      <c r="J773" s="36"/>
      <c r="K773" s="42"/>
    </row>
    <row r="774" ht="15.75" customHeight="1">
      <c r="A774" s="30"/>
      <c r="B774" s="60"/>
      <c r="C774" s="26"/>
      <c r="D774" s="34"/>
      <c r="E774" s="34"/>
      <c r="F774" s="34"/>
      <c r="G774" s="30"/>
      <c r="I774" s="36"/>
      <c r="J774" s="36"/>
      <c r="K774" s="42"/>
    </row>
    <row r="775" ht="15.75" customHeight="1">
      <c r="A775" s="30"/>
      <c r="B775" s="60"/>
      <c r="C775" s="26"/>
      <c r="D775" s="34"/>
      <c r="E775" s="34"/>
      <c r="F775" s="34"/>
      <c r="G775" s="30"/>
      <c r="I775" s="36"/>
      <c r="J775" s="36"/>
      <c r="K775" s="42"/>
    </row>
    <row r="776" ht="15.75" customHeight="1">
      <c r="A776" s="30"/>
      <c r="B776" s="60"/>
      <c r="C776" s="26"/>
      <c r="D776" s="34"/>
      <c r="E776" s="34"/>
      <c r="F776" s="34"/>
      <c r="G776" s="30"/>
      <c r="I776" s="36"/>
      <c r="J776" s="36"/>
      <c r="K776" s="42"/>
    </row>
    <row r="777" ht="15.75" customHeight="1">
      <c r="A777" s="30"/>
      <c r="B777" s="60"/>
      <c r="C777" s="26"/>
      <c r="D777" s="34"/>
      <c r="E777" s="34"/>
      <c r="F777" s="34"/>
      <c r="G777" s="30"/>
      <c r="I777" s="36"/>
      <c r="J777" s="36"/>
      <c r="K777" s="42"/>
    </row>
    <row r="778" ht="15.75" customHeight="1">
      <c r="A778" s="30"/>
      <c r="B778" s="60"/>
      <c r="C778" s="26"/>
      <c r="D778" s="34"/>
      <c r="E778" s="34"/>
      <c r="F778" s="34"/>
      <c r="G778" s="30"/>
      <c r="I778" s="36"/>
      <c r="J778" s="36"/>
      <c r="K778" s="42"/>
    </row>
    <row r="779" ht="15.75" customHeight="1">
      <c r="A779" s="30"/>
      <c r="B779" s="60"/>
      <c r="C779" s="26"/>
      <c r="D779" s="34"/>
      <c r="E779" s="34"/>
      <c r="F779" s="34"/>
      <c r="G779" s="30"/>
      <c r="I779" s="36"/>
      <c r="J779" s="36"/>
      <c r="K779" s="42"/>
    </row>
    <row r="780" ht="15.75" customHeight="1">
      <c r="A780" s="30"/>
      <c r="B780" s="60"/>
      <c r="C780" s="26"/>
      <c r="D780" s="34"/>
      <c r="E780" s="34"/>
      <c r="F780" s="34"/>
      <c r="G780" s="30"/>
      <c r="I780" s="36"/>
      <c r="J780" s="36"/>
      <c r="K780" s="42"/>
    </row>
    <row r="781" ht="15.75" customHeight="1">
      <c r="A781" s="30"/>
      <c r="B781" s="60"/>
      <c r="C781" s="26"/>
      <c r="D781" s="34"/>
      <c r="E781" s="34"/>
      <c r="F781" s="34"/>
      <c r="G781" s="30"/>
      <c r="I781" s="36"/>
      <c r="J781" s="36"/>
      <c r="K781" s="42"/>
    </row>
    <row r="782" ht="15.75" customHeight="1">
      <c r="A782" s="30"/>
      <c r="B782" s="60"/>
      <c r="C782" s="26"/>
      <c r="D782" s="34"/>
      <c r="E782" s="34"/>
      <c r="F782" s="34"/>
      <c r="G782" s="30"/>
      <c r="I782" s="36"/>
      <c r="J782" s="36"/>
      <c r="K782" s="42"/>
    </row>
    <row r="783" ht="15.75" customHeight="1">
      <c r="A783" s="30"/>
      <c r="B783" s="60"/>
      <c r="C783" s="26"/>
      <c r="D783" s="34"/>
      <c r="E783" s="34"/>
      <c r="F783" s="34"/>
      <c r="G783" s="30"/>
      <c r="I783" s="36"/>
      <c r="J783" s="36"/>
      <c r="K783" s="42"/>
    </row>
    <row r="784" ht="15.75" customHeight="1">
      <c r="A784" s="30"/>
      <c r="B784" s="60"/>
      <c r="C784" s="26"/>
      <c r="D784" s="34"/>
      <c r="E784" s="34"/>
      <c r="F784" s="34"/>
      <c r="G784" s="30"/>
      <c r="I784" s="36"/>
      <c r="J784" s="36"/>
      <c r="K784" s="42"/>
    </row>
    <row r="785" ht="15.75" customHeight="1">
      <c r="A785" s="30"/>
      <c r="B785" s="60"/>
      <c r="C785" s="26"/>
      <c r="D785" s="34"/>
      <c r="E785" s="34"/>
      <c r="F785" s="34"/>
      <c r="G785" s="30"/>
      <c r="I785" s="36"/>
      <c r="J785" s="36"/>
      <c r="K785" s="42"/>
    </row>
    <row r="786" ht="15.75" customHeight="1">
      <c r="A786" s="30"/>
      <c r="B786" s="60"/>
      <c r="C786" s="26"/>
      <c r="D786" s="34"/>
      <c r="E786" s="34"/>
      <c r="F786" s="34"/>
      <c r="G786" s="30"/>
      <c r="I786" s="36"/>
      <c r="J786" s="36"/>
      <c r="K786" s="42"/>
    </row>
    <row r="787" ht="15.75" customHeight="1">
      <c r="A787" s="30"/>
      <c r="B787" s="60"/>
      <c r="C787" s="26"/>
      <c r="D787" s="34"/>
      <c r="E787" s="34"/>
      <c r="F787" s="34"/>
      <c r="G787" s="30"/>
      <c r="I787" s="36"/>
      <c r="J787" s="36"/>
      <c r="K787" s="42"/>
    </row>
    <row r="788" ht="15.75" customHeight="1">
      <c r="A788" s="30"/>
      <c r="B788" s="60"/>
      <c r="C788" s="26"/>
      <c r="D788" s="34"/>
      <c r="E788" s="34"/>
      <c r="F788" s="34"/>
      <c r="G788" s="30"/>
      <c r="I788" s="36"/>
      <c r="J788" s="36"/>
      <c r="K788" s="42"/>
    </row>
    <row r="789" ht="15.75" customHeight="1">
      <c r="A789" s="30"/>
      <c r="B789" s="60"/>
      <c r="C789" s="26"/>
      <c r="D789" s="34"/>
      <c r="E789" s="34"/>
      <c r="F789" s="34"/>
      <c r="G789" s="30"/>
      <c r="I789" s="36"/>
      <c r="J789" s="36"/>
      <c r="K789" s="42"/>
    </row>
    <row r="790" ht="15.75" customHeight="1">
      <c r="A790" s="30"/>
      <c r="B790" s="60"/>
      <c r="C790" s="26"/>
      <c r="D790" s="34"/>
      <c r="E790" s="34"/>
      <c r="F790" s="34"/>
      <c r="G790" s="30"/>
      <c r="I790" s="36"/>
      <c r="J790" s="36"/>
      <c r="K790" s="42"/>
    </row>
    <row r="791" ht="15.75" customHeight="1">
      <c r="A791" s="30"/>
      <c r="B791" s="60"/>
      <c r="C791" s="26"/>
      <c r="D791" s="34"/>
      <c r="E791" s="34"/>
      <c r="F791" s="34"/>
      <c r="G791" s="30"/>
      <c r="I791" s="36"/>
      <c r="J791" s="36"/>
      <c r="K791" s="42"/>
    </row>
    <row r="792" ht="15.75" customHeight="1">
      <c r="A792" s="30"/>
      <c r="B792" s="60"/>
      <c r="C792" s="26"/>
      <c r="D792" s="34"/>
      <c r="E792" s="34"/>
      <c r="F792" s="34"/>
      <c r="G792" s="30"/>
      <c r="I792" s="36"/>
      <c r="J792" s="36"/>
      <c r="K792" s="42"/>
    </row>
    <row r="793" ht="15.75" customHeight="1">
      <c r="A793" s="30"/>
      <c r="B793" s="60"/>
      <c r="C793" s="26"/>
      <c r="D793" s="34"/>
      <c r="E793" s="34"/>
      <c r="F793" s="34"/>
      <c r="G793" s="30"/>
      <c r="I793" s="36"/>
      <c r="J793" s="36"/>
      <c r="K793" s="42"/>
    </row>
    <row r="794" ht="15.75" customHeight="1">
      <c r="A794" s="30"/>
      <c r="B794" s="60"/>
      <c r="C794" s="26"/>
      <c r="D794" s="34"/>
      <c r="E794" s="34"/>
      <c r="F794" s="34"/>
      <c r="G794" s="30"/>
      <c r="I794" s="36"/>
      <c r="J794" s="36"/>
      <c r="K794" s="42"/>
    </row>
    <row r="795" ht="15.75" customHeight="1">
      <c r="A795" s="30"/>
      <c r="B795" s="60"/>
      <c r="C795" s="26"/>
      <c r="D795" s="34"/>
      <c r="E795" s="34"/>
      <c r="F795" s="34"/>
      <c r="G795" s="30"/>
      <c r="I795" s="36"/>
      <c r="J795" s="36"/>
      <c r="K795" s="42"/>
    </row>
    <row r="796" ht="15.75" customHeight="1">
      <c r="A796" s="30"/>
      <c r="B796" s="60"/>
      <c r="C796" s="26"/>
      <c r="D796" s="34"/>
      <c r="E796" s="34"/>
      <c r="F796" s="34"/>
      <c r="G796" s="30"/>
      <c r="I796" s="36"/>
      <c r="J796" s="36"/>
      <c r="K796" s="42"/>
    </row>
    <row r="797" ht="15.75" customHeight="1">
      <c r="A797" s="30"/>
      <c r="B797" s="60"/>
      <c r="C797" s="26"/>
      <c r="D797" s="34"/>
      <c r="E797" s="34"/>
      <c r="F797" s="34"/>
      <c r="G797" s="30"/>
      <c r="I797" s="36"/>
      <c r="J797" s="36"/>
      <c r="K797" s="42"/>
    </row>
    <row r="798" ht="15.75" customHeight="1">
      <c r="A798" s="30"/>
      <c r="B798" s="60"/>
      <c r="C798" s="26"/>
      <c r="D798" s="34"/>
      <c r="E798" s="34"/>
      <c r="F798" s="34"/>
      <c r="G798" s="30"/>
      <c r="I798" s="36"/>
      <c r="J798" s="36"/>
      <c r="K798" s="42"/>
    </row>
    <row r="799" ht="15.75" customHeight="1">
      <c r="A799" s="30"/>
      <c r="B799" s="60"/>
      <c r="C799" s="26"/>
      <c r="D799" s="34"/>
      <c r="E799" s="34"/>
      <c r="F799" s="34"/>
      <c r="G799" s="30"/>
      <c r="I799" s="36"/>
      <c r="J799" s="36"/>
      <c r="K799" s="42"/>
    </row>
    <row r="800" ht="15.75" customHeight="1">
      <c r="A800" s="30"/>
      <c r="B800" s="60"/>
      <c r="C800" s="26"/>
      <c r="D800" s="34"/>
      <c r="E800" s="34"/>
      <c r="F800" s="34"/>
      <c r="G800" s="30"/>
      <c r="I800" s="36"/>
      <c r="J800" s="36"/>
      <c r="K800" s="42"/>
    </row>
    <row r="801" ht="15.75" customHeight="1">
      <c r="A801" s="30"/>
      <c r="B801" s="60"/>
      <c r="C801" s="26"/>
      <c r="D801" s="34"/>
      <c r="E801" s="34"/>
      <c r="F801" s="34"/>
      <c r="G801" s="30"/>
      <c r="I801" s="36"/>
      <c r="J801" s="36"/>
      <c r="K801" s="42"/>
    </row>
    <row r="802" ht="15.75" customHeight="1">
      <c r="A802" s="30"/>
      <c r="B802" s="60"/>
      <c r="C802" s="26"/>
      <c r="D802" s="34"/>
      <c r="E802" s="34"/>
      <c r="F802" s="34"/>
      <c r="G802" s="30"/>
      <c r="I802" s="36"/>
      <c r="J802" s="36"/>
      <c r="K802" s="42"/>
    </row>
    <row r="803" ht="15.75" customHeight="1">
      <c r="A803" s="30"/>
      <c r="B803" s="60"/>
      <c r="C803" s="26"/>
      <c r="D803" s="34"/>
      <c r="E803" s="34"/>
      <c r="F803" s="34"/>
      <c r="G803" s="30"/>
      <c r="I803" s="36"/>
      <c r="J803" s="36"/>
      <c r="K803" s="42"/>
    </row>
    <row r="804" ht="15.75" customHeight="1">
      <c r="A804" s="30"/>
      <c r="B804" s="60"/>
      <c r="C804" s="26"/>
      <c r="D804" s="34"/>
      <c r="E804" s="34"/>
      <c r="F804" s="34"/>
      <c r="G804" s="30"/>
      <c r="I804" s="36"/>
      <c r="J804" s="36"/>
      <c r="K804" s="42"/>
    </row>
    <row r="805" ht="15.75" customHeight="1">
      <c r="A805" s="30"/>
      <c r="B805" s="60"/>
      <c r="C805" s="26"/>
      <c r="D805" s="34"/>
      <c r="E805" s="34"/>
      <c r="F805" s="34"/>
      <c r="G805" s="30"/>
      <c r="I805" s="36"/>
      <c r="J805" s="36"/>
      <c r="K805" s="42"/>
    </row>
    <row r="806" ht="15.75" customHeight="1">
      <c r="A806" s="30"/>
      <c r="B806" s="60"/>
      <c r="C806" s="26"/>
      <c r="D806" s="34"/>
      <c r="E806" s="34"/>
      <c r="F806" s="34"/>
      <c r="G806" s="30"/>
      <c r="I806" s="36"/>
      <c r="J806" s="36"/>
      <c r="K806" s="42"/>
    </row>
    <row r="807" ht="15.75" customHeight="1">
      <c r="A807" s="30"/>
      <c r="B807" s="60"/>
      <c r="C807" s="26"/>
      <c r="D807" s="34"/>
      <c r="E807" s="34"/>
      <c r="F807" s="34"/>
      <c r="G807" s="30"/>
      <c r="I807" s="36"/>
      <c r="J807" s="36"/>
      <c r="K807" s="42"/>
    </row>
    <row r="808" ht="15.75" customHeight="1">
      <c r="A808" s="30"/>
      <c r="B808" s="60"/>
      <c r="C808" s="26"/>
      <c r="D808" s="34"/>
      <c r="E808" s="34"/>
      <c r="F808" s="34"/>
      <c r="G808" s="30"/>
      <c r="I808" s="36"/>
      <c r="J808" s="36"/>
      <c r="K808" s="42"/>
    </row>
    <row r="809" ht="15.75" customHeight="1">
      <c r="A809" s="30"/>
      <c r="B809" s="60"/>
      <c r="C809" s="26"/>
      <c r="D809" s="34"/>
      <c r="E809" s="34"/>
      <c r="F809" s="34"/>
      <c r="G809" s="30"/>
      <c r="I809" s="36"/>
      <c r="J809" s="36"/>
      <c r="K809" s="42"/>
    </row>
    <row r="810" ht="15.75" customHeight="1">
      <c r="A810" s="30"/>
      <c r="B810" s="60"/>
      <c r="C810" s="26"/>
      <c r="D810" s="34"/>
      <c r="E810" s="34"/>
      <c r="F810" s="34"/>
      <c r="G810" s="30"/>
      <c r="I810" s="36"/>
      <c r="J810" s="36"/>
      <c r="K810" s="42"/>
    </row>
    <row r="811" ht="15.75" customHeight="1">
      <c r="A811" s="30"/>
      <c r="B811" s="60"/>
      <c r="C811" s="26"/>
      <c r="D811" s="34"/>
      <c r="E811" s="34"/>
      <c r="F811" s="34"/>
      <c r="G811" s="30"/>
      <c r="I811" s="36"/>
      <c r="J811" s="36"/>
      <c r="K811" s="42"/>
    </row>
    <row r="812" ht="15.75" customHeight="1">
      <c r="A812" s="30"/>
      <c r="B812" s="60"/>
      <c r="C812" s="26"/>
      <c r="D812" s="34"/>
      <c r="E812" s="34"/>
      <c r="F812" s="34"/>
      <c r="G812" s="30"/>
      <c r="I812" s="36"/>
      <c r="J812" s="36"/>
      <c r="K812" s="42"/>
    </row>
    <row r="813" ht="15.75" customHeight="1">
      <c r="A813" s="30"/>
      <c r="B813" s="60"/>
      <c r="C813" s="26"/>
      <c r="D813" s="34"/>
      <c r="E813" s="34"/>
      <c r="F813" s="34"/>
      <c r="G813" s="30"/>
      <c r="I813" s="36"/>
      <c r="J813" s="36"/>
      <c r="K813" s="42"/>
    </row>
    <row r="814" ht="15.75" customHeight="1">
      <c r="A814" s="30"/>
      <c r="B814" s="60"/>
      <c r="C814" s="26"/>
      <c r="D814" s="34"/>
      <c r="E814" s="34"/>
      <c r="F814" s="34"/>
      <c r="G814" s="30"/>
      <c r="I814" s="36"/>
      <c r="J814" s="36"/>
      <c r="K814" s="42"/>
    </row>
    <row r="815" ht="15.75" customHeight="1">
      <c r="A815" s="30"/>
      <c r="B815" s="60"/>
      <c r="C815" s="26"/>
      <c r="D815" s="34"/>
      <c r="E815" s="34"/>
      <c r="F815" s="34"/>
      <c r="G815" s="30"/>
      <c r="I815" s="36"/>
      <c r="J815" s="36"/>
      <c r="K815" s="42"/>
    </row>
    <row r="816" ht="15.75" customHeight="1">
      <c r="A816" s="30"/>
      <c r="B816" s="60"/>
      <c r="C816" s="26"/>
      <c r="D816" s="34"/>
      <c r="E816" s="34"/>
      <c r="F816" s="34"/>
      <c r="G816" s="30"/>
      <c r="I816" s="36"/>
      <c r="J816" s="36"/>
      <c r="K816" s="42"/>
    </row>
    <row r="817" ht="15.75" customHeight="1">
      <c r="A817" s="30"/>
      <c r="B817" s="60"/>
      <c r="C817" s="26"/>
      <c r="D817" s="34"/>
      <c r="E817" s="34"/>
      <c r="F817" s="34"/>
      <c r="G817" s="30"/>
      <c r="I817" s="36"/>
      <c r="J817" s="36"/>
      <c r="K817" s="42"/>
    </row>
    <row r="818" ht="15.75" customHeight="1">
      <c r="A818" s="30"/>
      <c r="B818" s="60"/>
      <c r="C818" s="26"/>
      <c r="D818" s="34"/>
      <c r="E818" s="34"/>
      <c r="F818" s="34"/>
      <c r="G818" s="30"/>
      <c r="I818" s="36"/>
      <c r="J818" s="36"/>
      <c r="K818" s="42"/>
    </row>
    <row r="819" ht="15.75" customHeight="1">
      <c r="A819" s="30"/>
      <c r="B819" s="60"/>
      <c r="C819" s="26"/>
      <c r="D819" s="34"/>
      <c r="E819" s="34"/>
      <c r="F819" s="34"/>
      <c r="G819" s="30"/>
      <c r="I819" s="36"/>
      <c r="J819" s="36"/>
      <c r="K819" s="42"/>
    </row>
    <row r="820" ht="15.75" customHeight="1">
      <c r="A820" s="30"/>
      <c r="B820" s="60"/>
      <c r="C820" s="26"/>
      <c r="D820" s="34"/>
      <c r="E820" s="34"/>
      <c r="F820" s="34"/>
      <c r="G820" s="30"/>
      <c r="I820" s="36"/>
      <c r="J820" s="36"/>
      <c r="K820" s="42"/>
    </row>
    <row r="821" ht="15.75" customHeight="1">
      <c r="A821" s="30"/>
      <c r="B821" s="60"/>
      <c r="C821" s="26"/>
      <c r="D821" s="34"/>
      <c r="E821" s="34"/>
      <c r="F821" s="34"/>
      <c r="G821" s="30"/>
      <c r="I821" s="36"/>
      <c r="J821" s="36"/>
      <c r="K821" s="42"/>
    </row>
    <row r="822" ht="15.75" customHeight="1">
      <c r="A822" s="30"/>
      <c r="B822" s="60"/>
      <c r="C822" s="26"/>
      <c r="D822" s="34"/>
      <c r="E822" s="34"/>
      <c r="F822" s="34"/>
      <c r="G822" s="30"/>
      <c r="I822" s="36"/>
      <c r="J822" s="36"/>
      <c r="K822" s="42"/>
    </row>
    <row r="823" ht="15.75" customHeight="1">
      <c r="A823" s="30"/>
      <c r="B823" s="60"/>
      <c r="C823" s="26"/>
      <c r="D823" s="34"/>
      <c r="E823" s="34"/>
      <c r="F823" s="34"/>
      <c r="G823" s="30"/>
      <c r="I823" s="36"/>
      <c r="J823" s="36"/>
      <c r="K823" s="42"/>
    </row>
    <row r="824" ht="15.75" customHeight="1">
      <c r="A824" s="30"/>
      <c r="B824" s="60"/>
      <c r="C824" s="26"/>
      <c r="D824" s="34"/>
      <c r="E824" s="34"/>
      <c r="F824" s="34"/>
      <c r="G824" s="30"/>
      <c r="I824" s="36"/>
      <c r="J824" s="36"/>
      <c r="K824" s="42"/>
    </row>
    <row r="825" ht="15.75" customHeight="1">
      <c r="A825" s="30"/>
      <c r="B825" s="60"/>
      <c r="C825" s="26"/>
      <c r="D825" s="34"/>
      <c r="E825" s="34"/>
      <c r="F825" s="34"/>
      <c r="G825" s="30"/>
      <c r="I825" s="36"/>
      <c r="J825" s="36"/>
      <c r="K825" s="42"/>
    </row>
    <row r="826" ht="15.75" customHeight="1">
      <c r="A826" s="30"/>
      <c r="B826" s="60"/>
      <c r="C826" s="26"/>
      <c r="D826" s="34"/>
      <c r="E826" s="34"/>
      <c r="F826" s="34"/>
      <c r="G826" s="30"/>
      <c r="I826" s="36"/>
      <c r="J826" s="36"/>
      <c r="K826" s="42"/>
    </row>
    <row r="827" ht="15.75" customHeight="1">
      <c r="A827" s="30"/>
      <c r="B827" s="60"/>
      <c r="C827" s="26"/>
      <c r="D827" s="34"/>
      <c r="E827" s="34"/>
      <c r="F827" s="34"/>
      <c r="G827" s="30"/>
      <c r="I827" s="36"/>
      <c r="J827" s="36"/>
      <c r="K827" s="42"/>
    </row>
    <row r="828" ht="15.75" customHeight="1">
      <c r="A828" s="30"/>
      <c r="B828" s="60"/>
      <c r="C828" s="26"/>
      <c r="D828" s="34"/>
      <c r="E828" s="34"/>
      <c r="F828" s="34"/>
      <c r="G828" s="30"/>
      <c r="I828" s="36"/>
      <c r="J828" s="36"/>
      <c r="K828" s="42"/>
    </row>
    <row r="829" ht="15.75" customHeight="1">
      <c r="A829" s="30"/>
      <c r="B829" s="60"/>
      <c r="C829" s="26"/>
      <c r="D829" s="34"/>
      <c r="E829" s="34"/>
      <c r="F829" s="34"/>
      <c r="G829" s="30"/>
      <c r="I829" s="36"/>
      <c r="J829" s="36"/>
      <c r="K829" s="42"/>
    </row>
    <row r="830" ht="15.75" customHeight="1">
      <c r="A830" s="30"/>
      <c r="B830" s="60"/>
      <c r="C830" s="26"/>
      <c r="D830" s="34"/>
      <c r="E830" s="34"/>
      <c r="F830" s="34"/>
      <c r="G830" s="30"/>
      <c r="I830" s="36"/>
      <c r="J830" s="36"/>
      <c r="K830" s="42"/>
    </row>
    <row r="831" ht="15.75" customHeight="1">
      <c r="A831" s="30"/>
      <c r="B831" s="60"/>
      <c r="C831" s="26"/>
      <c r="D831" s="34"/>
      <c r="E831" s="34"/>
      <c r="F831" s="34"/>
      <c r="G831" s="30"/>
      <c r="I831" s="36"/>
      <c r="J831" s="36"/>
      <c r="K831" s="42"/>
    </row>
    <row r="832" ht="15.75" customHeight="1">
      <c r="A832" s="30"/>
      <c r="B832" s="60"/>
      <c r="C832" s="26"/>
      <c r="D832" s="34"/>
      <c r="E832" s="34"/>
      <c r="F832" s="34"/>
      <c r="G832" s="30"/>
      <c r="I832" s="36"/>
      <c r="J832" s="36"/>
      <c r="K832" s="42"/>
    </row>
    <row r="833" ht="15.75" customHeight="1">
      <c r="A833" s="30"/>
      <c r="B833" s="60"/>
      <c r="C833" s="26"/>
      <c r="D833" s="34"/>
      <c r="E833" s="34"/>
      <c r="F833" s="34"/>
      <c r="G833" s="30"/>
      <c r="I833" s="36"/>
      <c r="J833" s="36"/>
      <c r="K833" s="42"/>
    </row>
    <row r="834" ht="15.75" customHeight="1">
      <c r="A834" s="30"/>
      <c r="B834" s="60"/>
      <c r="C834" s="26"/>
      <c r="D834" s="34"/>
      <c r="E834" s="34"/>
      <c r="F834" s="34"/>
      <c r="G834" s="30"/>
      <c r="I834" s="36"/>
      <c r="J834" s="36"/>
      <c r="K834" s="42"/>
    </row>
    <row r="835" ht="15.75" customHeight="1">
      <c r="A835" s="30"/>
      <c r="B835" s="60"/>
      <c r="C835" s="26"/>
      <c r="D835" s="34"/>
      <c r="E835" s="34"/>
      <c r="F835" s="34"/>
      <c r="G835" s="30"/>
      <c r="I835" s="36"/>
      <c r="J835" s="36"/>
      <c r="K835" s="42"/>
    </row>
    <row r="836" ht="15.75" customHeight="1">
      <c r="A836" s="30"/>
      <c r="B836" s="60"/>
      <c r="C836" s="26"/>
      <c r="D836" s="34"/>
      <c r="E836" s="34"/>
      <c r="F836" s="34"/>
      <c r="G836" s="30"/>
      <c r="I836" s="36"/>
      <c r="J836" s="36"/>
      <c r="K836" s="42"/>
    </row>
    <row r="837" ht="15.75" customHeight="1">
      <c r="A837" s="30"/>
      <c r="B837" s="60"/>
      <c r="C837" s="26"/>
      <c r="D837" s="34"/>
      <c r="E837" s="34"/>
      <c r="F837" s="34"/>
      <c r="G837" s="30"/>
      <c r="I837" s="36"/>
      <c r="J837" s="36"/>
      <c r="K837" s="42"/>
    </row>
    <row r="838" ht="15.75" customHeight="1">
      <c r="A838" s="30"/>
      <c r="B838" s="60"/>
      <c r="C838" s="26"/>
      <c r="D838" s="34"/>
      <c r="E838" s="34"/>
      <c r="F838" s="34"/>
      <c r="G838" s="30"/>
      <c r="I838" s="36"/>
      <c r="J838" s="36"/>
      <c r="K838" s="42"/>
    </row>
    <row r="839" ht="15.75" customHeight="1">
      <c r="A839" s="30"/>
      <c r="B839" s="60"/>
      <c r="C839" s="26"/>
      <c r="D839" s="34"/>
      <c r="E839" s="34"/>
      <c r="F839" s="34"/>
      <c r="G839" s="30"/>
      <c r="I839" s="36"/>
      <c r="J839" s="36"/>
      <c r="K839" s="42"/>
    </row>
    <row r="840" ht="15.75" customHeight="1">
      <c r="A840" s="30"/>
      <c r="B840" s="60"/>
      <c r="C840" s="26"/>
      <c r="D840" s="34"/>
      <c r="E840" s="34"/>
      <c r="F840" s="34"/>
      <c r="G840" s="30"/>
      <c r="I840" s="36"/>
      <c r="J840" s="36"/>
      <c r="K840" s="42"/>
    </row>
    <row r="841" ht="15.75" customHeight="1">
      <c r="A841" s="30"/>
      <c r="B841" s="60"/>
      <c r="C841" s="26"/>
      <c r="D841" s="34"/>
      <c r="E841" s="34"/>
      <c r="F841" s="34"/>
      <c r="G841" s="30"/>
      <c r="I841" s="36"/>
      <c r="J841" s="36"/>
      <c r="K841" s="42"/>
    </row>
    <row r="842" ht="15.75" customHeight="1">
      <c r="A842" s="30"/>
      <c r="B842" s="60"/>
      <c r="C842" s="26"/>
      <c r="D842" s="34"/>
      <c r="E842" s="34"/>
      <c r="F842" s="34"/>
      <c r="G842" s="30"/>
      <c r="I842" s="36"/>
      <c r="J842" s="36"/>
      <c r="K842" s="42"/>
    </row>
    <row r="843" ht="15.75" customHeight="1">
      <c r="A843" s="30"/>
      <c r="B843" s="60"/>
      <c r="C843" s="26"/>
      <c r="D843" s="34"/>
      <c r="E843" s="34"/>
      <c r="F843" s="34"/>
      <c r="G843" s="30"/>
      <c r="I843" s="36"/>
      <c r="J843" s="36"/>
      <c r="K843" s="42"/>
    </row>
    <row r="844" ht="15.75" customHeight="1">
      <c r="A844" s="30"/>
      <c r="B844" s="60"/>
      <c r="C844" s="26"/>
      <c r="D844" s="34"/>
      <c r="E844" s="34"/>
      <c r="F844" s="34"/>
      <c r="G844" s="30"/>
      <c r="I844" s="36"/>
      <c r="J844" s="36"/>
      <c r="K844" s="42"/>
    </row>
    <row r="845" ht="15.75" customHeight="1">
      <c r="A845" s="30"/>
      <c r="B845" s="60"/>
      <c r="C845" s="26"/>
      <c r="D845" s="34"/>
      <c r="E845" s="34"/>
      <c r="F845" s="34"/>
      <c r="G845" s="30"/>
      <c r="I845" s="36"/>
      <c r="J845" s="36"/>
      <c r="K845" s="42"/>
    </row>
    <row r="846" ht="15.75" customHeight="1">
      <c r="A846" s="30"/>
      <c r="B846" s="60"/>
      <c r="C846" s="26"/>
      <c r="D846" s="34"/>
      <c r="E846" s="34"/>
      <c r="F846" s="34"/>
      <c r="G846" s="30"/>
      <c r="I846" s="36"/>
      <c r="J846" s="36"/>
      <c r="K846" s="42"/>
    </row>
    <row r="847" ht="15.75" customHeight="1">
      <c r="A847" s="30"/>
      <c r="B847" s="60"/>
      <c r="C847" s="26"/>
      <c r="D847" s="34"/>
      <c r="E847" s="34"/>
      <c r="F847" s="34"/>
      <c r="G847" s="30"/>
      <c r="I847" s="36"/>
      <c r="J847" s="36"/>
      <c r="K847" s="42"/>
    </row>
    <row r="848" ht="15.75" customHeight="1">
      <c r="A848" s="30"/>
      <c r="B848" s="60"/>
      <c r="C848" s="26"/>
      <c r="D848" s="34"/>
      <c r="E848" s="34"/>
      <c r="F848" s="34"/>
      <c r="G848" s="30"/>
      <c r="I848" s="36"/>
      <c r="J848" s="36"/>
      <c r="K848" s="42"/>
    </row>
    <row r="849" ht="15.75" customHeight="1">
      <c r="A849" s="30"/>
      <c r="B849" s="60"/>
      <c r="C849" s="26"/>
      <c r="D849" s="34"/>
      <c r="E849" s="34"/>
      <c r="F849" s="34"/>
      <c r="G849" s="30"/>
      <c r="I849" s="36"/>
      <c r="J849" s="36"/>
      <c r="K849" s="42"/>
    </row>
    <row r="850" ht="15.75" customHeight="1">
      <c r="A850" s="30"/>
      <c r="B850" s="60"/>
      <c r="C850" s="26"/>
      <c r="D850" s="34"/>
      <c r="E850" s="34"/>
      <c r="F850" s="34"/>
      <c r="G850" s="30"/>
      <c r="I850" s="36"/>
      <c r="J850" s="36"/>
      <c r="K850" s="42"/>
    </row>
    <row r="851" ht="15.75" customHeight="1">
      <c r="A851" s="30"/>
      <c r="B851" s="60"/>
      <c r="C851" s="26"/>
      <c r="D851" s="34"/>
      <c r="E851" s="34"/>
      <c r="F851" s="34"/>
      <c r="G851" s="30"/>
      <c r="I851" s="36"/>
      <c r="J851" s="36"/>
      <c r="K851" s="42"/>
    </row>
    <row r="852" ht="15.75" customHeight="1">
      <c r="A852" s="30"/>
      <c r="B852" s="60"/>
      <c r="C852" s="26"/>
      <c r="D852" s="34"/>
      <c r="E852" s="34"/>
      <c r="F852" s="34"/>
      <c r="G852" s="30"/>
      <c r="I852" s="36"/>
      <c r="J852" s="36"/>
      <c r="K852" s="42"/>
    </row>
    <row r="853" ht="15.75" customHeight="1">
      <c r="A853" s="30"/>
      <c r="B853" s="60"/>
      <c r="C853" s="26"/>
      <c r="D853" s="34"/>
      <c r="E853" s="34"/>
      <c r="F853" s="34"/>
      <c r="G853" s="30"/>
      <c r="I853" s="36"/>
      <c r="J853" s="36"/>
      <c r="K853" s="42"/>
    </row>
    <row r="854" ht="15.75" customHeight="1">
      <c r="A854" s="30"/>
      <c r="B854" s="60"/>
      <c r="C854" s="26"/>
      <c r="D854" s="34"/>
      <c r="E854" s="34"/>
      <c r="F854" s="34"/>
      <c r="G854" s="30"/>
      <c r="I854" s="36"/>
      <c r="J854" s="36"/>
      <c r="K854" s="42"/>
    </row>
    <row r="855" ht="15.75" customHeight="1">
      <c r="A855" s="30"/>
      <c r="B855" s="60"/>
      <c r="C855" s="26"/>
      <c r="D855" s="34"/>
      <c r="E855" s="34"/>
      <c r="F855" s="34"/>
      <c r="G855" s="30"/>
      <c r="I855" s="36"/>
      <c r="J855" s="36"/>
      <c r="K855" s="42"/>
    </row>
    <row r="856" ht="15.75" customHeight="1">
      <c r="A856" s="30"/>
      <c r="B856" s="60"/>
      <c r="C856" s="26"/>
      <c r="D856" s="34"/>
      <c r="E856" s="34"/>
      <c r="F856" s="34"/>
      <c r="G856" s="30"/>
      <c r="I856" s="36"/>
      <c r="J856" s="36"/>
      <c r="K856" s="42"/>
    </row>
    <row r="857" ht="15.75" customHeight="1">
      <c r="A857" s="30"/>
      <c r="B857" s="60"/>
      <c r="C857" s="26"/>
      <c r="D857" s="34"/>
      <c r="E857" s="34"/>
      <c r="F857" s="34"/>
      <c r="G857" s="30"/>
      <c r="I857" s="36"/>
      <c r="J857" s="36"/>
      <c r="K857" s="42"/>
    </row>
    <row r="858" ht="15.75" customHeight="1">
      <c r="A858" s="30"/>
      <c r="B858" s="60"/>
      <c r="C858" s="26"/>
      <c r="D858" s="34"/>
      <c r="E858" s="34"/>
      <c r="F858" s="34"/>
      <c r="G858" s="30"/>
      <c r="I858" s="36"/>
      <c r="J858" s="36"/>
      <c r="K858" s="42"/>
    </row>
    <row r="859" ht="15.75" customHeight="1">
      <c r="A859" s="30"/>
      <c r="B859" s="60"/>
      <c r="C859" s="26"/>
      <c r="D859" s="34"/>
      <c r="E859" s="34"/>
      <c r="F859" s="34"/>
      <c r="G859" s="30"/>
      <c r="I859" s="36"/>
      <c r="J859" s="36"/>
      <c r="K859" s="42"/>
    </row>
    <row r="860" ht="15.75" customHeight="1">
      <c r="A860" s="30"/>
      <c r="B860" s="60"/>
      <c r="C860" s="26"/>
      <c r="D860" s="34"/>
      <c r="E860" s="34"/>
      <c r="F860" s="34"/>
      <c r="G860" s="30"/>
      <c r="I860" s="36"/>
      <c r="J860" s="36"/>
      <c r="K860" s="42"/>
    </row>
    <row r="861" ht="15.75" customHeight="1">
      <c r="A861" s="30"/>
      <c r="B861" s="60"/>
      <c r="C861" s="26"/>
      <c r="D861" s="34"/>
      <c r="E861" s="34"/>
      <c r="F861" s="34"/>
      <c r="G861" s="30"/>
      <c r="I861" s="36"/>
      <c r="J861" s="36"/>
      <c r="K861" s="42"/>
    </row>
    <row r="862" ht="15.75" customHeight="1">
      <c r="A862" s="30"/>
      <c r="B862" s="60"/>
      <c r="C862" s="26"/>
      <c r="D862" s="34"/>
      <c r="E862" s="34"/>
      <c r="F862" s="34"/>
      <c r="G862" s="30"/>
      <c r="I862" s="36"/>
      <c r="J862" s="36"/>
      <c r="K862" s="42"/>
    </row>
    <row r="863" ht="15.75" customHeight="1">
      <c r="A863" s="30"/>
      <c r="B863" s="60"/>
      <c r="C863" s="26"/>
      <c r="D863" s="34"/>
      <c r="E863" s="34"/>
      <c r="F863" s="34"/>
      <c r="G863" s="30"/>
      <c r="I863" s="36"/>
      <c r="J863" s="36"/>
      <c r="K863" s="42"/>
    </row>
    <row r="864" ht="15.75" customHeight="1">
      <c r="A864" s="30"/>
      <c r="B864" s="60"/>
      <c r="C864" s="26"/>
      <c r="D864" s="34"/>
      <c r="E864" s="34"/>
      <c r="F864" s="34"/>
      <c r="G864" s="30"/>
      <c r="I864" s="36"/>
      <c r="J864" s="36"/>
      <c r="K864" s="42"/>
    </row>
    <row r="865" ht="15.75" customHeight="1">
      <c r="A865" s="30"/>
      <c r="B865" s="60"/>
      <c r="C865" s="26"/>
      <c r="D865" s="34"/>
      <c r="E865" s="34"/>
      <c r="F865" s="34"/>
      <c r="G865" s="30"/>
      <c r="I865" s="36"/>
      <c r="J865" s="36"/>
      <c r="K865" s="42"/>
    </row>
    <row r="866" ht="15.75" customHeight="1">
      <c r="A866" s="30"/>
      <c r="B866" s="60"/>
      <c r="C866" s="26"/>
      <c r="D866" s="34"/>
      <c r="E866" s="34"/>
      <c r="F866" s="34"/>
      <c r="G866" s="30"/>
      <c r="I866" s="36"/>
      <c r="J866" s="36"/>
      <c r="K866" s="42"/>
    </row>
    <row r="867" ht="15.75" customHeight="1">
      <c r="A867" s="30"/>
      <c r="B867" s="60"/>
      <c r="C867" s="26"/>
      <c r="D867" s="34"/>
      <c r="E867" s="34"/>
      <c r="F867" s="34"/>
      <c r="G867" s="30"/>
      <c r="I867" s="36"/>
      <c r="J867" s="36"/>
      <c r="K867" s="42"/>
    </row>
    <row r="868" ht="15.75" customHeight="1">
      <c r="A868" s="30"/>
      <c r="B868" s="60"/>
      <c r="C868" s="26"/>
      <c r="D868" s="34"/>
      <c r="E868" s="34"/>
      <c r="F868" s="34"/>
      <c r="G868" s="30"/>
      <c r="I868" s="36"/>
      <c r="J868" s="36"/>
      <c r="K868" s="42"/>
    </row>
    <row r="869" ht="15.75" customHeight="1">
      <c r="A869" s="30"/>
      <c r="B869" s="60"/>
      <c r="C869" s="26"/>
      <c r="D869" s="34"/>
      <c r="E869" s="34"/>
      <c r="F869" s="34"/>
      <c r="G869" s="30"/>
      <c r="I869" s="36"/>
      <c r="J869" s="36"/>
      <c r="K869" s="42"/>
    </row>
    <row r="870" ht="15.75" customHeight="1">
      <c r="A870" s="30"/>
      <c r="B870" s="60"/>
      <c r="C870" s="26"/>
      <c r="D870" s="34"/>
      <c r="E870" s="34"/>
      <c r="F870" s="34"/>
      <c r="G870" s="30"/>
      <c r="I870" s="36"/>
      <c r="J870" s="36"/>
      <c r="K870" s="42"/>
    </row>
    <row r="871" ht="15.75" customHeight="1">
      <c r="A871" s="30"/>
      <c r="B871" s="60"/>
      <c r="C871" s="26"/>
      <c r="D871" s="34"/>
      <c r="E871" s="34"/>
      <c r="F871" s="34"/>
      <c r="G871" s="30"/>
      <c r="I871" s="36"/>
      <c r="J871" s="36"/>
      <c r="K871" s="42"/>
    </row>
    <row r="872" ht="15.75" customHeight="1">
      <c r="A872" s="30"/>
      <c r="B872" s="60"/>
      <c r="C872" s="26"/>
      <c r="D872" s="34"/>
      <c r="E872" s="34"/>
      <c r="F872" s="34"/>
      <c r="G872" s="30"/>
      <c r="I872" s="36"/>
      <c r="J872" s="36"/>
      <c r="K872" s="42"/>
    </row>
    <row r="873" ht="15.75" customHeight="1">
      <c r="A873" s="30"/>
      <c r="B873" s="60"/>
      <c r="C873" s="26"/>
      <c r="D873" s="34"/>
      <c r="E873" s="34"/>
      <c r="F873" s="34"/>
      <c r="G873" s="30"/>
      <c r="I873" s="36"/>
      <c r="J873" s="36"/>
      <c r="K873" s="42"/>
    </row>
    <row r="874" ht="15.75" customHeight="1">
      <c r="A874" s="30"/>
      <c r="B874" s="60"/>
      <c r="C874" s="26"/>
      <c r="D874" s="34"/>
      <c r="E874" s="34"/>
      <c r="F874" s="34"/>
      <c r="G874" s="30"/>
      <c r="I874" s="36"/>
      <c r="J874" s="36"/>
      <c r="K874" s="42"/>
    </row>
    <row r="875" ht="15.75" customHeight="1">
      <c r="A875" s="30"/>
      <c r="B875" s="60"/>
      <c r="C875" s="26"/>
      <c r="D875" s="34"/>
      <c r="E875" s="34"/>
      <c r="F875" s="34"/>
      <c r="G875" s="30"/>
      <c r="I875" s="36"/>
      <c r="J875" s="36"/>
      <c r="K875" s="42"/>
    </row>
    <row r="876" ht="15.75" customHeight="1">
      <c r="A876" s="30"/>
      <c r="B876" s="60"/>
      <c r="C876" s="26"/>
      <c r="D876" s="34"/>
      <c r="E876" s="34"/>
      <c r="F876" s="34"/>
      <c r="G876" s="30"/>
      <c r="I876" s="36"/>
      <c r="J876" s="36"/>
      <c r="K876" s="42"/>
    </row>
    <row r="877" ht="15.75" customHeight="1">
      <c r="A877" s="30"/>
      <c r="B877" s="60"/>
      <c r="C877" s="26"/>
      <c r="D877" s="34"/>
      <c r="E877" s="34"/>
      <c r="F877" s="34"/>
      <c r="G877" s="30"/>
      <c r="I877" s="36"/>
      <c r="J877" s="36"/>
      <c r="K877" s="42"/>
    </row>
    <row r="878" ht="15.75" customHeight="1">
      <c r="A878" s="30"/>
      <c r="B878" s="60"/>
      <c r="C878" s="26"/>
      <c r="D878" s="34"/>
      <c r="E878" s="34"/>
      <c r="F878" s="34"/>
      <c r="G878" s="30"/>
      <c r="I878" s="36"/>
      <c r="J878" s="36"/>
      <c r="K878" s="42"/>
    </row>
    <row r="879" ht="15.75" customHeight="1">
      <c r="A879" s="30"/>
      <c r="B879" s="60"/>
      <c r="C879" s="26"/>
      <c r="D879" s="34"/>
      <c r="E879" s="34"/>
      <c r="F879" s="34"/>
      <c r="G879" s="30"/>
      <c r="I879" s="36"/>
      <c r="J879" s="36"/>
      <c r="K879" s="42"/>
    </row>
    <row r="880" ht="15.75" customHeight="1">
      <c r="A880" s="30"/>
      <c r="B880" s="60"/>
      <c r="C880" s="26"/>
      <c r="D880" s="34"/>
      <c r="E880" s="34"/>
      <c r="F880" s="34"/>
      <c r="G880" s="30"/>
      <c r="I880" s="36"/>
      <c r="J880" s="36"/>
      <c r="K880" s="42"/>
    </row>
    <row r="881" ht="15.75" customHeight="1">
      <c r="A881" s="30"/>
      <c r="B881" s="60"/>
      <c r="C881" s="26"/>
      <c r="D881" s="34"/>
      <c r="E881" s="34"/>
      <c r="F881" s="34"/>
      <c r="G881" s="30"/>
      <c r="I881" s="36"/>
      <c r="J881" s="36"/>
      <c r="K881" s="42"/>
    </row>
    <row r="882" ht="15.75" customHeight="1">
      <c r="A882" s="30"/>
      <c r="B882" s="60"/>
      <c r="C882" s="26"/>
      <c r="D882" s="34"/>
      <c r="E882" s="34"/>
      <c r="F882" s="34"/>
      <c r="G882" s="30"/>
      <c r="I882" s="36"/>
      <c r="J882" s="36"/>
      <c r="K882" s="42"/>
    </row>
    <row r="883" ht="15.75" customHeight="1">
      <c r="A883" s="30"/>
      <c r="B883" s="60"/>
      <c r="C883" s="26"/>
      <c r="D883" s="34"/>
      <c r="E883" s="34"/>
      <c r="F883" s="34"/>
      <c r="G883" s="30"/>
      <c r="I883" s="36"/>
      <c r="J883" s="36"/>
      <c r="K883" s="42"/>
    </row>
    <row r="884" ht="15.75" customHeight="1">
      <c r="A884" s="30"/>
      <c r="B884" s="60"/>
      <c r="C884" s="26"/>
      <c r="D884" s="34"/>
      <c r="E884" s="34"/>
      <c r="F884" s="34"/>
      <c r="G884" s="30"/>
      <c r="I884" s="36"/>
      <c r="J884" s="36"/>
      <c r="K884" s="42"/>
    </row>
    <row r="885" ht="15.75" customHeight="1">
      <c r="A885" s="30"/>
      <c r="B885" s="60"/>
      <c r="C885" s="26"/>
      <c r="D885" s="34"/>
      <c r="E885" s="34"/>
      <c r="F885" s="34"/>
      <c r="G885" s="30"/>
      <c r="I885" s="36"/>
      <c r="J885" s="36"/>
      <c r="K885" s="42"/>
    </row>
    <row r="886" ht="15.75" customHeight="1">
      <c r="A886" s="30"/>
      <c r="B886" s="60"/>
      <c r="C886" s="26"/>
      <c r="D886" s="34"/>
      <c r="E886" s="34"/>
      <c r="F886" s="34"/>
      <c r="G886" s="30"/>
      <c r="I886" s="36"/>
      <c r="J886" s="36"/>
      <c r="K886" s="42"/>
    </row>
    <row r="887" ht="15.75" customHeight="1">
      <c r="A887" s="30"/>
      <c r="B887" s="60"/>
      <c r="C887" s="26"/>
      <c r="D887" s="34"/>
      <c r="E887" s="34"/>
      <c r="F887" s="34"/>
      <c r="G887" s="30"/>
      <c r="I887" s="36"/>
      <c r="J887" s="36"/>
      <c r="K887" s="42"/>
    </row>
    <row r="888" ht="15.75" customHeight="1">
      <c r="A888" s="30"/>
      <c r="B888" s="60"/>
      <c r="C888" s="26"/>
      <c r="D888" s="34"/>
      <c r="E888" s="34"/>
      <c r="F888" s="34"/>
      <c r="G888" s="30"/>
      <c r="I888" s="36"/>
      <c r="J888" s="36"/>
      <c r="K888" s="42"/>
    </row>
    <row r="889" ht="15.75" customHeight="1">
      <c r="A889" s="30"/>
      <c r="B889" s="60"/>
      <c r="C889" s="26"/>
      <c r="D889" s="34"/>
      <c r="E889" s="34"/>
      <c r="F889" s="34"/>
      <c r="G889" s="30"/>
      <c r="I889" s="36"/>
      <c r="J889" s="36"/>
      <c r="K889" s="42"/>
    </row>
    <row r="890" ht="15.75" customHeight="1">
      <c r="A890" s="30"/>
      <c r="B890" s="60"/>
      <c r="C890" s="26"/>
      <c r="D890" s="34"/>
      <c r="E890" s="34"/>
      <c r="F890" s="34"/>
      <c r="G890" s="30"/>
      <c r="I890" s="36"/>
      <c r="J890" s="36"/>
      <c r="K890" s="42"/>
    </row>
    <row r="891" ht="15.75" customHeight="1">
      <c r="A891" s="30"/>
      <c r="B891" s="60"/>
      <c r="C891" s="26"/>
      <c r="D891" s="34"/>
      <c r="E891" s="34"/>
      <c r="F891" s="34"/>
      <c r="G891" s="30"/>
      <c r="I891" s="36"/>
      <c r="J891" s="36"/>
      <c r="K891" s="42"/>
    </row>
    <row r="892" ht="15.75" customHeight="1">
      <c r="A892" s="30"/>
      <c r="B892" s="60"/>
      <c r="C892" s="26"/>
      <c r="D892" s="34"/>
      <c r="E892" s="34"/>
      <c r="F892" s="34"/>
      <c r="G892" s="30"/>
      <c r="I892" s="36"/>
      <c r="J892" s="36"/>
      <c r="K892" s="42"/>
    </row>
    <row r="893" ht="15.75" customHeight="1">
      <c r="A893" s="30"/>
      <c r="B893" s="60"/>
      <c r="C893" s="26"/>
      <c r="D893" s="34"/>
      <c r="E893" s="34"/>
      <c r="F893" s="34"/>
      <c r="G893" s="30"/>
      <c r="I893" s="36"/>
      <c r="J893" s="36"/>
      <c r="K893" s="42"/>
    </row>
    <row r="894" ht="15.75" customHeight="1">
      <c r="A894" s="30"/>
      <c r="B894" s="60"/>
      <c r="C894" s="26"/>
      <c r="D894" s="34"/>
      <c r="E894" s="34"/>
      <c r="F894" s="34"/>
      <c r="G894" s="30"/>
      <c r="I894" s="36"/>
      <c r="J894" s="36"/>
      <c r="K894" s="42"/>
    </row>
    <row r="895" ht="15.75" customHeight="1">
      <c r="A895" s="30"/>
      <c r="B895" s="60"/>
      <c r="C895" s="26"/>
      <c r="D895" s="34"/>
      <c r="E895" s="34"/>
      <c r="F895" s="34"/>
      <c r="G895" s="30"/>
      <c r="I895" s="36"/>
      <c r="J895" s="36"/>
      <c r="K895" s="42"/>
    </row>
    <row r="896" ht="15.75" customHeight="1">
      <c r="A896" s="30"/>
      <c r="B896" s="60"/>
      <c r="C896" s="26"/>
      <c r="D896" s="34"/>
      <c r="E896" s="34"/>
      <c r="F896" s="34"/>
      <c r="G896" s="30"/>
      <c r="I896" s="36"/>
      <c r="J896" s="36"/>
      <c r="K896" s="42"/>
    </row>
    <row r="897" ht="15.75" customHeight="1">
      <c r="A897" s="30"/>
      <c r="B897" s="60"/>
      <c r="C897" s="26"/>
      <c r="D897" s="34"/>
      <c r="E897" s="34"/>
      <c r="F897" s="34"/>
      <c r="G897" s="30"/>
      <c r="I897" s="36"/>
      <c r="J897" s="36"/>
      <c r="K897" s="42"/>
    </row>
    <row r="898" ht="15.75" customHeight="1">
      <c r="A898" s="30"/>
      <c r="B898" s="60"/>
      <c r="C898" s="26"/>
      <c r="D898" s="34"/>
      <c r="E898" s="34"/>
      <c r="F898" s="34"/>
      <c r="G898" s="30"/>
      <c r="I898" s="36"/>
      <c r="J898" s="36"/>
      <c r="K898" s="42"/>
    </row>
    <row r="899" ht="15.75" customHeight="1">
      <c r="A899" s="30"/>
      <c r="B899" s="60"/>
      <c r="C899" s="26"/>
      <c r="D899" s="34"/>
      <c r="E899" s="34"/>
      <c r="F899" s="34"/>
      <c r="G899" s="30"/>
      <c r="I899" s="36"/>
      <c r="J899" s="36"/>
      <c r="K899" s="42"/>
    </row>
    <row r="900" ht="15.75" customHeight="1">
      <c r="A900" s="30"/>
      <c r="B900" s="60"/>
      <c r="C900" s="26"/>
      <c r="D900" s="34"/>
      <c r="E900" s="34"/>
      <c r="F900" s="34"/>
      <c r="G900" s="30"/>
      <c r="I900" s="36"/>
      <c r="J900" s="36"/>
      <c r="K900" s="42"/>
    </row>
    <row r="901" ht="15.75" customHeight="1">
      <c r="A901" s="30"/>
      <c r="B901" s="60"/>
      <c r="C901" s="26"/>
      <c r="D901" s="34"/>
      <c r="E901" s="34"/>
      <c r="F901" s="34"/>
      <c r="G901" s="30"/>
      <c r="I901" s="36"/>
      <c r="J901" s="36"/>
      <c r="K901" s="42"/>
    </row>
    <row r="902" ht="15.75" customHeight="1">
      <c r="A902" s="30"/>
      <c r="B902" s="60"/>
      <c r="C902" s="26"/>
      <c r="D902" s="34"/>
      <c r="E902" s="34"/>
      <c r="F902" s="34"/>
      <c r="G902" s="30"/>
      <c r="I902" s="36"/>
      <c r="J902" s="36"/>
      <c r="K902" s="42"/>
    </row>
    <row r="903" ht="15.75" customHeight="1">
      <c r="A903" s="30"/>
      <c r="B903" s="60"/>
      <c r="C903" s="26"/>
      <c r="D903" s="34"/>
      <c r="E903" s="34"/>
      <c r="F903" s="34"/>
      <c r="G903" s="30"/>
      <c r="I903" s="36"/>
      <c r="J903" s="36"/>
      <c r="K903" s="42"/>
    </row>
    <row r="904" ht="15.75" customHeight="1">
      <c r="A904" s="30"/>
      <c r="B904" s="60"/>
      <c r="C904" s="26"/>
      <c r="D904" s="34"/>
      <c r="E904" s="34"/>
      <c r="F904" s="34"/>
      <c r="G904" s="30"/>
      <c r="I904" s="36"/>
      <c r="J904" s="36"/>
      <c r="K904" s="42"/>
    </row>
    <row r="905" ht="15.75" customHeight="1">
      <c r="A905" s="30"/>
      <c r="B905" s="60"/>
      <c r="C905" s="26"/>
      <c r="D905" s="34"/>
      <c r="E905" s="34"/>
      <c r="F905" s="34"/>
      <c r="G905" s="30"/>
      <c r="I905" s="36"/>
      <c r="J905" s="36"/>
      <c r="K905" s="42"/>
    </row>
    <row r="906" ht="15.75" customHeight="1">
      <c r="A906" s="30"/>
      <c r="B906" s="60"/>
      <c r="C906" s="26"/>
      <c r="D906" s="34"/>
      <c r="E906" s="34"/>
      <c r="F906" s="34"/>
      <c r="G906" s="30"/>
      <c r="I906" s="36"/>
      <c r="J906" s="36"/>
      <c r="K906" s="42"/>
    </row>
    <row r="907" ht="15.75" customHeight="1">
      <c r="A907" s="30"/>
      <c r="B907" s="60"/>
      <c r="C907" s="26"/>
      <c r="D907" s="34"/>
      <c r="E907" s="34"/>
      <c r="F907" s="34"/>
      <c r="G907" s="30"/>
      <c r="I907" s="36"/>
      <c r="J907" s="36"/>
      <c r="K907" s="42"/>
    </row>
    <row r="908" ht="15.75" customHeight="1">
      <c r="A908" s="30"/>
      <c r="B908" s="60"/>
      <c r="C908" s="26"/>
      <c r="D908" s="34"/>
      <c r="E908" s="34"/>
      <c r="F908" s="34"/>
      <c r="G908" s="30"/>
      <c r="I908" s="36"/>
      <c r="J908" s="36"/>
      <c r="K908" s="42"/>
    </row>
    <row r="909" ht="15.75" customHeight="1">
      <c r="A909" s="30"/>
      <c r="B909" s="60"/>
      <c r="C909" s="26"/>
      <c r="D909" s="34"/>
      <c r="E909" s="34"/>
      <c r="F909" s="34"/>
      <c r="G909" s="30"/>
      <c r="I909" s="36"/>
      <c r="J909" s="36"/>
      <c r="K909" s="42"/>
    </row>
    <row r="910" ht="15.75" customHeight="1">
      <c r="A910" s="30"/>
      <c r="B910" s="60"/>
      <c r="C910" s="26"/>
      <c r="D910" s="34"/>
      <c r="E910" s="34"/>
      <c r="F910" s="34"/>
      <c r="G910" s="30"/>
      <c r="I910" s="36"/>
      <c r="J910" s="36"/>
      <c r="K910" s="42"/>
    </row>
    <row r="911" ht="15.75" customHeight="1">
      <c r="A911" s="30"/>
      <c r="B911" s="60"/>
      <c r="C911" s="26"/>
      <c r="D911" s="34"/>
      <c r="E911" s="34"/>
      <c r="F911" s="34"/>
      <c r="G911" s="30"/>
      <c r="I911" s="36"/>
      <c r="J911" s="36"/>
      <c r="K911" s="42"/>
    </row>
    <row r="912" ht="15.75" customHeight="1">
      <c r="A912" s="30"/>
      <c r="B912" s="60"/>
      <c r="C912" s="26"/>
      <c r="D912" s="34"/>
      <c r="E912" s="34"/>
      <c r="F912" s="34"/>
      <c r="G912" s="30"/>
      <c r="I912" s="36"/>
      <c r="J912" s="36"/>
      <c r="K912" s="42"/>
    </row>
    <row r="913" ht="15.75" customHeight="1">
      <c r="A913" s="30"/>
      <c r="B913" s="60"/>
      <c r="C913" s="26"/>
      <c r="D913" s="34"/>
      <c r="E913" s="34"/>
      <c r="F913" s="34"/>
      <c r="G913" s="30"/>
      <c r="I913" s="36"/>
      <c r="J913" s="36"/>
      <c r="K913" s="42"/>
    </row>
    <row r="914" ht="15.75" customHeight="1">
      <c r="A914" s="30"/>
      <c r="B914" s="60"/>
      <c r="C914" s="26"/>
      <c r="D914" s="34"/>
      <c r="E914" s="34"/>
      <c r="F914" s="34"/>
      <c r="G914" s="30"/>
      <c r="I914" s="36"/>
      <c r="J914" s="36"/>
      <c r="K914" s="42"/>
    </row>
    <row r="915" ht="15.75" customHeight="1">
      <c r="A915" s="30"/>
      <c r="B915" s="60"/>
      <c r="C915" s="26"/>
      <c r="D915" s="34"/>
      <c r="E915" s="34"/>
      <c r="F915" s="34"/>
      <c r="G915" s="30"/>
      <c r="I915" s="36"/>
      <c r="J915" s="36"/>
      <c r="K915" s="42"/>
    </row>
    <row r="916" ht="15.75" customHeight="1">
      <c r="A916" s="30"/>
      <c r="B916" s="60"/>
      <c r="C916" s="26"/>
      <c r="D916" s="34"/>
      <c r="E916" s="34"/>
      <c r="F916" s="34"/>
      <c r="G916" s="30"/>
      <c r="I916" s="36"/>
      <c r="J916" s="36"/>
      <c r="K916" s="42"/>
    </row>
    <row r="917" ht="15.75" customHeight="1">
      <c r="A917" s="30"/>
      <c r="B917" s="60"/>
      <c r="C917" s="26"/>
      <c r="D917" s="34"/>
      <c r="E917" s="34"/>
      <c r="F917" s="34"/>
      <c r="G917" s="30"/>
      <c r="I917" s="36"/>
      <c r="J917" s="36"/>
      <c r="K917" s="42"/>
    </row>
    <row r="918" ht="15.75" customHeight="1">
      <c r="A918" s="30"/>
      <c r="B918" s="60"/>
      <c r="C918" s="26"/>
      <c r="D918" s="34"/>
      <c r="E918" s="34"/>
      <c r="F918" s="34"/>
      <c r="G918" s="30"/>
      <c r="I918" s="36"/>
      <c r="J918" s="36"/>
      <c r="K918" s="42"/>
    </row>
    <row r="919" ht="15.75" customHeight="1">
      <c r="A919" s="30"/>
      <c r="B919" s="60"/>
      <c r="C919" s="26"/>
      <c r="D919" s="34"/>
      <c r="E919" s="34"/>
      <c r="F919" s="34"/>
      <c r="G919" s="30"/>
      <c r="I919" s="36"/>
      <c r="J919" s="36"/>
      <c r="K919" s="42"/>
    </row>
    <row r="920" ht="15.75" customHeight="1">
      <c r="A920" s="30"/>
      <c r="B920" s="60"/>
      <c r="C920" s="26"/>
      <c r="D920" s="34"/>
      <c r="E920" s="34"/>
      <c r="F920" s="34"/>
      <c r="G920" s="30"/>
      <c r="I920" s="36"/>
      <c r="J920" s="36"/>
      <c r="K920" s="42"/>
    </row>
    <row r="921" ht="15.75" customHeight="1">
      <c r="A921" s="30"/>
      <c r="B921" s="60"/>
      <c r="C921" s="26"/>
      <c r="D921" s="34"/>
      <c r="E921" s="34"/>
      <c r="F921" s="34"/>
      <c r="G921" s="30"/>
      <c r="I921" s="36"/>
      <c r="J921" s="36"/>
      <c r="K921" s="42"/>
    </row>
    <row r="922" ht="15.75" customHeight="1">
      <c r="A922" s="30"/>
      <c r="B922" s="60"/>
      <c r="C922" s="26"/>
      <c r="D922" s="34"/>
      <c r="E922" s="34"/>
      <c r="F922" s="34"/>
      <c r="G922" s="30"/>
      <c r="I922" s="36"/>
      <c r="J922" s="36"/>
      <c r="K922" s="42"/>
    </row>
    <row r="923" ht="15.75" customHeight="1">
      <c r="A923" s="30"/>
      <c r="B923" s="60"/>
      <c r="C923" s="26"/>
      <c r="D923" s="34"/>
      <c r="E923" s="34"/>
      <c r="F923" s="34"/>
      <c r="G923" s="30"/>
      <c r="I923" s="36"/>
      <c r="J923" s="36"/>
      <c r="K923" s="42"/>
    </row>
    <row r="924" ht="15.75" customHeight="1">
      <c r="A924" s="30"/>
      <c r="B924" s="60"/>
      <c r="C924" s="26"/>
      <c r="D924" s="34"/>
      <c r="E924" s="34"/>
      <c r="F924" s="34"/>
      <c r="G924" s="30"/>
      <c r="I924" s="36"/>
      <c r="J924" s="36"/>
      <c r="K924" s="42"/>
    </row>
    <row r="925" ht="15.75" customHeight="1">
      <c r="A925" s="30"/>
      <c r="B925" s="60"/>
      <c r="C925" s="26"/>
      <c r="D925" s="34"/>
      <c r="E925" s="34"/>
      <c r="F925" s="34"/>
      <c r="G925" s="30"/>
      <c r="I925" s="36"/>
      <c r="J925" s="36"/>
      <c r="K925" s="42"/>
    </row>
    <row r="926" ht="15.75" customHeight="1">
      <c r="A926" s="30"/>
      <c r="B926" s="60"/>
      <c r="C926" s="26"/>
      <c r="D926" s="34"/>
      <c r="E926" s="34"/>
      <c r="F926" s="34"/>
      <c r="G926" s="30"/>
      <c r="I926" s="36"/>
      <c r="J926" s="36"/>
      <c r="K926" s="42"/>
    </row>
    <row r="927" ht="15.75" customHeight="1">
      <c r="A927" s="30"/>
      <c r="B927" s="60"/>
      <c r="C927" s="26"/>
      <c r="D927" s="34"/>
      <c r="E927" s="34"/>
      <c r="F927" s="34"/>
      <c r="G927" s="30"/>
      <c r="I927" s="36"/>
      <c r="J927" s="36"/>
      <c r="K927" s="42"/>
    </row>
    <row r="928" ht="15.75" customHeight="1">
      <c r="A928" s="30"/>
      <c r="B928" s="60"/>
      <c r="C928" s="26"/>
      <c r="D928" s="34"/>
      <c r="E928" s="34"/>
      <c r="F928" s="34"/>
      <c r="G928" s="30"/>
      <c r="I928" s="36"/>
      <c r="J928" s="36"/>
      <c r="K928" s="42"/>
    </row>
    <row r="929" ht="15.75" customHeight="1">
      <c r="A929" s="30"/>
      <c r="B929" s="60"/>
      <c r="C929" s="26"/>
      <c r="D929" s="34"/>
      <c r="E929" s="34"/>
      <c r="F929" s="34"/>
      <c r="G929" s="30"/>
      <c r="I929" s="36"/>
      <c r="J929" s="36"/>
      <c r="K929" s="42"/>
    </row>
    <row r="930" ht="15.75" customHeight="1">
      <c r="A930" s="30"/>
      <c r="B930" s="60"/>
      <c r="C930" s="26"/>
      <c r="D930" s="34"/>
      <c r="E930" s="34"/>
      <c r="F930" s="34"/>
      <c r="G930" s="30"/>
      <c r="I930" s="36"/>
      <c r="J930" s="36"/>
      <c r="K930" s="42"/>
    </row>
    <row r="931" ht="15.75" customHeight="1">
      <c r="A931" s="30"/>
      <c r="B931" s="60"/>
      <c r="C931" s="26"/>
      <c r="D931" s="34"/>
      <c r="E931" s="34"/>
      <c r="F931" s="34"/>
      <c r="G931" s="30"/>
      <c r="I931" s="36"/>
      <c r="J931" s="36"/>
      <c r="K931" s="42"/>
    </row>
    <row r="932" ht="15.75" customHeight="1">
      <c r="A932" s="30"/>
      <c r="B932" s="60"/>
      <c r="C932" s="26"/>
      <c r="D932" s="34"/>
      <c r="E932" s="34"/>
      <c r="F932" s="34"/>
      <c r="G932" s="30"/>
      <c r="I932" s="36"/>
      <c r="J932" s="36"/>
      <c r="K932" s="42"/>
    </row>
    <row r="933" ht="15.75" customHeight="1">
      <c r="A933" s="30"/>
      <c r="B933" s="60"/>
      <c r="C933" s="26"/>
      <c r="D933" s="34"/>
      <c r="E933" s="34"/>
      <c r="F933" s="34"/>
      <c r="G933" s="30"/>
      <c r="I933" s="36"/>
      <c r="J933" s="36"/>
      <c r="K933" s="42"/>
    </row>
    <row r="934" ht="15.75" customHeight="1">
      <c r="A934" s="30"/>
      <c r="B934" s="60"/>
      <c r="C934" s="26"/>
      <c r="D934" s="34"/>
      <c r="E934" s="34"/>
      <c r="F934" s="34"/>
      <c r="G934" s="30"/>
      <c r="I934" s="36"/>
      <c r="J934" s="36"/>
      <c r="K934" s="42"/>
    </row>
    <row r="935" ht="15.75" customHeight="1">
      <c r="A935" s="30"/>
      <c r="B935" s="60"/>
      <c r="C935" s="26"/>
      <c r="D935" s="34"/>
      <c r="E935" s="34"/>
      <c r="F935" s="34"/>
      <c r="G935" s="30"/>
      <c r="I935" s="36"/>
      <c r="J935" s="36"/>
      <c r="K935" s="42"/>
    </row>
    <row r="936" ht="15.75" customHeight="1">
      <c r="A936" s="30"/>
      <c r="B936" s="60"/>
      <c r="C936" s="26"/>
      <c r="D936" s="34"/>
      <c r="E936" s="34"/>
      <c r="F936" s="34"/>
      <c r="G936" s="30"/>
      <c r="I936" s="36"/>
      <c r="J936" s="36"/>
      <c r="K936" s="42"/>
    </row>
    <row r="937" ht="15.75" customHeight="1">
      <c r="A937" s="30"/>
      <c r="B937" s="60"/>
      <c r="C937" s="26"/>
      <c r="D937" s="34"/>
      <c r="E937" s="34"/>
      <c r="F937" s="34"/>
      <c r="G937" s="30"/>
      <c r="I937" s="36"/>
      <c r="J937" s="36"/>
      <c r="K937" s="42"/>
    </row>
    <row r="938" ht="15.75" customHeight="1">
      <c r="A938" s="30"/>
      <c r="B938" s="60"/>
      <c r="C938" s="26"/>
      <c r="D938" s="34"/>
      <c r="E938" s="34"/>
      <c r="F938" s="34"/>
      <c r="G938" s="30"/>
      <c r="I938" s="36"/>
      <c r="J938" s="36"/>
      <c r="K938" s="42"/>
    </row>
    <row r="939" ht="15.75" customHeight="1">
      <c r="A939" s="30"/>
      <c r="B939" s="60"/>
      <c r="C939" s="26"/>
      <c r="D939" s="34"/>
      <c r="E939" s="34"/>
      <c r="F939" s="34"/>
      <c r="G939" s="30"/>
      <c r="I939" s="36"/>
      <c r="J939" s="36"/>
      <c r="K939" s="42"/>
    </row>
    <row r="940" ht="15.75" customHeight="1">
      <c r="A940" s="30"/>
      <c r="B940" s="60"/>
      <c r="C940" s="26"/>
      <c r="D940" s="34"/>
      <c r="E940" s="34"/>
      <c r="F940" s="34"/>
      <c r="G940" s="30"/>
      <c r="I940" s="36"/>
      <c r="J940" s="36"/>
      <c r="K940" s="42"/>
    </row>
    <row r="941" ht="15.75" customHeight="1">
      <c r="A941" s="30"/>
      <c r="B941" s="60"/>
      <c r="C941" s="26"/>
      <c r="D941" s="34"/>
      <c r="E941" s="34"/>
      <c r="F941" s="34"/>
      <c r="G941" s="30"/>
      <c r="I941" s="36"/>
      <c r="J941" s="36"/>
      <c r="K941" s="42"/>
    </row>
    <row r="942" ht="15.75" customHeight="1">
      <c r="A942" s="30"/>
      <c r="B942" s="60"/>
      <c r="C942" s="26"/>
      <c r="D942" s="34"/>
      <c r="E942" s="34"/>
      <c r="F942" s="34"/>
      <c r="G942" s="30"/>
      <c r="I942" s="36"/>
      <c r="J942" s="36"/>
      <c r="K942" s="42"/>
    </row>
    <row r="943" ht="15.75" customHeight="1">
      <c r="A943" s="30"/>
      <c r="B943" s="60"/>
      <c r="C943" s="26"/>
      <c r="D943" s="34"/>
      <c r="E943" s="34"/>
      <c r="F943" s="34"/>
      <c r="G943" s="30"/>
      <c r="I943" s="36"/>
      <c r="J943" s="36"/>
      <c r="K943" s="42"/>
    </row>
    <row r="944" ht="15.75" customHeight="1">
      <c r="A944" s="30"/>
      <c r="B944" s="60"/>
      <c r="C944" s="26"/>
      <c r="D944" s="34"/>
      <c r="E944" s="34"/>
      <c r="F944" s="34"/>
      <c r="G944" s="30"/>
      <c r="I944" s="36"/>
      <c r="J944" s="36"/>
      <c r="K944" s="42"/>
    </row>
    <row r="945" ht="15.75" customHeight="1">
      <c r="A945" s="30"/>
      <c r="B945" s="60"/>
      <c r="C945" s="26"/>
      <c r="D945" s="34"/>
      <c r="E945" s="34"/>
      <c r="F945" s="34"/>
      <c r="G945" s="30"/>
      <c r="I945" s="36"/>
      <c r="J945" s="36"/>
      <c r="K945" s="42"/>
    </row>
    <row r="946" ht="15.75" customHeight="1">
      <c r="A946" s="30"/>
      <c r="B946" s="60"/>
      <c r="C946" s="26"/>
      <c r="D946" s="34"/>
      <c r="E946" s="34"/>
      <c r="F946" s="34"/>
      <c r="G946" s="30"/>
      <c r="I946" s="36"/>
      <c r="J946" s="36"/>
      <c r="K946" s="42"/>
    </row>
    <row r="947" ht="15.75" customHeight="1">
      <c r="A947" s="30"/>
      <c r="B947" s="60"/>
      <c r="C947" s="26"/>
      <c r="D947" s="34"/>
      <c r="E947" s="34"/>
      <c r="F947" s="34"/>
      <c r="G947" s="30"/>
      <c r="I947" s="36"/>
      <c r="J947" s="36"/>
      <c r="K947" s="42"/>
    </row>
    <row r="948" ht="15.75" customHeight="1">
      <c r="A948" s="30"/>
      <c r="B948" s="60"/>
      <c r="C948" s="26"/>
      <c r="D948" s="34"/>
      <c r="E948" s="34"/>
      <c r="F948" s="34"/>
      <c r="G948" s="30"/>
      <c r="I948" s="36"/>
      <c r="J948" s="36"/>
      <c r="K948" s="42"/>
    </row>
    <row r="949" ht="15.75" customHeight="1">
      <c r="A949" s="30"/>
      <c r="B949" s="60"/>
      <c r="C949" s="26"/>
      <c r="D949" s="34"/>
      <c r="E949" s="34"/>
      <c r="F949" s="34"/>
      <c r="G949" s="30"/>
      <c r="I949" s="36"/>
      <c r="J949" s="36"/>
      <c r="K949" s="42"/>
    </row>
    <row r="950" ht="15.75" customHeight="1">
      <c r="A950" s="30"/>
      <c r="B950" s="60"/>
      <c r="C950" s="26"/>
      <c r="D950" s="34"/>
      <c r="E950" s="34"/>
      <c r="F950" s="34"/>
      <c r="G950" s="30"/>
      <c r="I950" s="36"/>
      <c r="J950" s="36"/>
      <c r="K950" s="42"/>
    </row>
    <row r="951" ht="15.75" customHeight="1">
      <c r="A951" s="30"/>
      <c r="B951" s="60"/>
      <c r="C951" s="26"/>
      <c r="D951" s="34"/>
      <c r="E951" s="34"/>
      <c r="F951" s="34"/>
      <c r="G951" s="30"/>
      <c r="I951" s="36"/>
      <c r="J951" s="36"/>
      <c r="K951" s="42"/>
    </row>
    <row r="952" ht="15.75" customHeight="1">
      <c r="A952" s="30"/>
      <c r="B952" s="60"/>
      <c r="C952" s="26"/>
      <c r="D952" s="34"/>
      <c r="E952" s="34"/>
      <c r="F952" s="34"/>
      <c r="G952" s="30"/>
      <c r="I952" s="36"/>
      <c r="J952" s="36"/>
      <c r="K952" s="42"/>
    </row>
    <row r="953" ht="15.75" customHeight="1">
      <c r="A953" s="30"/>
      <c r="B953" s="60"/>
      <c r="C953" s="26"/>
      <c r="D953" s="34"/>
      <c r="E953" s="34"/>
      <c r="F953" s="34"/>
      <c r="G953" s="30"/>
      <c r="I953" s="36"/>
      <c r="J953" s="36"/>
      <c r="K953" s="42"/>
    </row>
    <row r="954" ht="15.75" customHeight="1">
      <c r="A954" s="30"/>
      <c r="B954" s="60"/>
      <c r="C954" s="26"/>
      <c r="D954" s="34"/>
      <c r="E954" s="34"/>
      <c r="F954" s="34"/>
      <c r="G954" s="30"/>
      <c r="I954" s="36"/>
      <c r="J954" s="36"/>
      <c r="K954" s="42"/>
    </row>
    <row r="955" ht="15.75" customHeight="1">
      <c r="A955" s="30"/>
      <c r="B955" s="60"/>
      <c r="C955" s="26"/>
      <c r="D955" s="34"/>
      <c r="E955" s="34"/>
      <c r="F955" s="34"/>
      <c r="G955" s="30"/>
      <c r="I955" s="36"/>
      <c r="J955" s="36"/>
      <c r="K955" s="42"/>
    </row>
    <row r="956" ht="15.75" customHeight="1">
      <c r="A956" s="30"/>
      <c r="B956" s="60"/>
      <c r="C956" s="26"/>
      <c r="D956" s="34"/>
      <c r="E956" s="34"/>
      <c r="F956" s="34"/>
      <c r="G956" s="30"/>
      <c r="I956" s="36"/>
      <c r="J956" s="36"/>
      <c r="K956" s="42"/>
    </row>
    <row r="957" ht="15.75" customHeight="1">
      <c r="A957" s="30"/>
      <c r="B957" s="60"/>
      <c r="C957" s="26"/>
      <c r="D957" s="34"/>
      <c r="E957" s="34"/>
      <c r="F957" s="34"/>
      <c r="G957" s="30"/>
      <c r="I957" s="36"/>
      <c r="J957" s="36"/>
      <c r="K957" s="42"/>
    </row>
    <row r="958" ht="15.75" customHeight="1">
      <c r="A958" s="30"/>
      <c r="B958" s="60"/>
      <c r="C958" s="26"/>
      <c r="D958" s="34"/>
      <c r="E958" s="34"/>
      <c r="F958" s="34"/>
      <c r="G958" s="30"/>
      <c r="I958" s="36"/>
      <c r="J958" s="36"/>
      <c r="K958" s="42"/>
    </row>
    <row r="959" ht="15.75" customHeight="1">
      <c r="A959" s="30"/>
      <c r="B959" s="60"/>
      <c r="C959" s="26"/>
      <c r="D959" s="34"/>
      <c r="E959" s="34"/>
      <c r="F959" s="34"/>
      <c r="G959" s="30"/>
      <c r="I959" s="36"/>
      <c r="J959" s="36"/>
      <c r="K959" s="42"/>
    </row>
    <row r="960" ht="15.75" customHeight="1">
      <c r="A960" s="30"/>
      <c r="B960" s="60"/>
      <c r="C960" s="26"/>
      <c r="D960" s="34"/>
      <c r="E960" s="34"/>
      <c r="F960" s="34"/>
      <c r="G960" s="30"/>
      <c r="I960" s="36"/>
      <c r="J960" s="36"/>
      <c r="K960" s="42"/>
    </row>
    <row r="961" ht="15.75" customHeight="1">
      <c r="A961" s="30"/>
      <c r="B961" s="60"/>
      <c r="C961" s="26"/>
      <c r="D961" s="34"/>
      <c r="E961" s="34"/>
      <c r="F961" s="34"/>
      <c r="G961" s="30"/>
      <c r="I961" s="36"/>
      <c r="J961" s="36"/>
      <c r="K961" s="42"/>
    </row>
    <row r="962" ht="15.75" customHeight="1">
      <c r="A962" s="30"/>
      <c r="B962" s="60"/>
      <c r="C962" s="26"/>
      <c r="D962" s="34"/>
      <c r="E962" s="34"/>
      <c r="F962" s="34"/>
      <c r="G962" s="30"/>
      <c r="I962" s="36"/>
      <c r="J962" s="36"/>
      <c r="K962" s="42"/>
    </row>
    <row r="963" ht="15.75" customHeight="1">
      <c r="A963" s="30"/>
      <c r="B963" s="60"/>
      <c r="C963" s="26"/>
      <c r="D963" s="34"/>
      <c r="E963" s="34"/>
      <c r="F963" s="34"/>
      <c r="G963" s="30"/>
      <c r="I963" s="36"/>
      <c r="J963" s="36"/>
      <c r="K963" s="42"/>
    </row>
    <row r="964" ht="15.75" customHeight="1">
      <c r="A964" s="30"/>
      <c r="B964" s="60"/>
      <c r="C964" s="26"/>
      <c r="D964" s="34"/>
      <c r="E964" s="34"/>
      <c r="F964" s="34"/>
      <c r="G964" s="30"/>
      <c r="I964" s="36"/>
      <c r="J964" s="36"/>
      <c r="K964" s="42"/>
    </row>
    <row r="965" ht="15.75" customHeight="1">
      <c r="A965" s="30"/>
      <c r="B965" s="60"/>
      <c r="C965" s="26"/>
      <c r="D965" s="34"/>
      <c r="E965" s="34"/>
      <c r="F965" s="34"/>
      <c r="G965" s="30"/>
      <c r="I965" s="36"/>
      <c r="J965" s="36"/>
      <c r="K965" s="42"/>
    </row>
    <row r="966" ht="15.75" customHeight="1">
      <c r="A966" s="30"/>
      <c r="B966" s="60"/>
      <c r="C966" s="26"/>
      <c r="D966" s="34"/>
      <c r="E966" s="34"/>
      <c r="F966" s="34"/>
      <c r="G966" s="30"/>
      <c r="I966" s="36"/>
      <c r="J966" s="36"/>
      <c r="K966" s="42"/>
    </row>
    <row r="967" ht="15.75" customHeight="1">
      <c r="A967" s="30"/>
      <c r="B967" s="60"/>
      <c r="C967" s="26"/>
      <c r="D967" s="34"/>
      <c r="E967" s="34"/>
      <c r="F967" s="34"/>
      <c r="G967" s="30"/>
      <c r="I967" s="36"/>
      <c r="J967" s="36"/>
      <c r="K967" s="42"/>
    </row>
    <row r="968" ht="15.75" customHeight="1">
      <c r="A968" s="30"/>
      <c r="B968" s="60"/>
      <c r="C968" s="26"/>
      <c r="D968" s="34"/>
      <c r="E968" s="34"/>
      <c r="F968" s="34"/>
      <c r="G968" s="30"/>
      <c r="I968" s="36"/>
      <c r="J968" s="36"/>
      <c r="K968" s="42"/>
    </row>
    <row r="969" ht="15.75" customHeight="1">
      <c r="A969" s="30"/>
      <c r="B969" s="60"/>
      <c r="C969" s="26"/>
      <c r="D969" s="34"/>
      <c r="E969" s="34"/>
      <c r="F969" s="34"/>
      <c r="G969" s="30"/>
      <c r="I969" s="36"/>
      <c r="J969" s="36"/>
      <c r="K969" s="42"/>
    </row>
    <row r="970" ht="15.75" customHeight="1">
      <c r="A970" s="30"/>
      <c r="B970" s="60"/>
      <c r="C970" s="26"/>
      <c r="D970" s="34"/>
      <c r="E970" s="34"/>
      <c r="F970" s="34"/>
      <c r="G970" s="30"/>
      <c r="I970" s="36"/>
      <c r="J970" s="36"/>
      <c r="K970" s="42"/>
    </row>
    <row r="971" ht="15.75" customHeight="1">
      <c r="A971" s="30"/>
      <c r="B971" s="60"/>
      <c r="C971" s="26"/>
      <c r="D971" s="34"/>
      <c r="E971" s="34"/>
      <c r="F971" s="34"/>
      <c r="G971" s="30"/>
      <c r="I971" s="36"/>
      <c r="J971" s="36"/>
      <c r="K971" s="42"/>
    </row>
    <row r="972" ht="15.75" customHeight="1">
      <c r="A972" s="30"/>
      <c r="B972" s="60"/>
      <c r="C972" s="26"/>
      <c r="D972" s="34"/>
      <c r="E972" s="34"/>
      <c r="F972" s="34"/>
      <c r="G972" s="30"/>
      <c r="I972" s="36"/>
      <c r="J972" s="36"/>
      <c r="K972" s="42"/>
    </row>
    <row r="973" ht="15.75" customHeight="1">
      <c r="A973" s="30"/>
      <c r="B973" s="60"/>
      <c r="C973" s="26"/>
      <c r="D973" s="34"/>
      <c r="E973" s="34"/>
      <c r="F973" s="34"/>
      <c r="G973" s="30"/>
      <c r="I973" s="36"/>
      <c r="J973" s="36"/>
      <c r="K973" s="42"/>
    </row>
    <row r="974" ht="15.75" customHeight="1">
      <c r="A974" s="30"/>
      <c r="B974" s="60"/>
      <c r="C974" s="26"/>
      <c r="D974" s="34"/>
      <c r="E974" s="34"/>
      <c r="F974" s="34"/>
      <c r="G974" s="30"/>
      <c r="I974" s="36"/>
      <c r="J974" s="36"/>
      <c r="K974" s="42"/>
    </row>
    <row r="975" ht="15.75" customHeight="1">
      <c r="A975" s="30"/>
      <c r="B975" s="60"/>
      <c r="C975" s="26"/>
      <c r="D975" s="34"/>
      <c r="E975" s="34"/>
      <c r="F975" s="34"/>
      <c r="G975" s="30"/>
      <c r="I975" s="36"/>
      <c r="J975" s="36"/>
      <c r="K975" s="42"/>
    </row>
    <row r="976" ht="15.75" customHeight="1">
      <c r="A976" s="30"/>
      <c r="B976" s="60"/>
      <c r="C976" s="26"/>
      <c r="D976" s="34"/>
      <c r="E976" s="34"/>
      <c r="F976" s="34"/>
      <c r="G976" s="30"/>
      <c r="I976" s="36"/>
      <c r="J976" s="36"/>
      <c r="K976" s="42"/>
    </row>
    <row r="977" ht="15.75" customHeight="1">
      <c r="A977" s="30"/>
      <c r="B977" s="60"/>
      <c r="C977" s="26"/>
      <c r="D977" s="34"/>
      <c r="E977" s="34"/>
      <c r="F977" s="34"/>
      <c r="G977" s="30"/>
      <c r="I977" s="36"/>
      <c r="J977" s="36"/>
      <c r="K977" s="42"/>
    </row>
    <row r="978" ht="15.75" customHeight="1">
      <c r="A978" s="30"/>
      <c r="B978" s="60"/>
      <c r="C978" s="26"/>
      <c r="D978" s="34"/>
      <c r="E978" s="34"/>
      <c r="F978" s="34"/>
      <c r="G978" s="30"/>
      <c r="I978" s="36"/>
      <c r="J978" s="36"/>
      <c r="K978" s="42"/>
    </row>
    <row r="979" ht="15.75" customHeight="1">
      <c r="A979" s="30"/>
      <c r="B979" s="60"/>
      <c r="C979" s="26"/>
      <c r="D979" s="34"/>
      <c r="E979" s="34"/>
      <c r="F979" s="34"/>
      <c r="G979" s="30"/>
      <c r="I979" s="36"/>
      <c r="J979" s="36"/>
      <c r="K979" s="42"/>
    </row>
    <row r="980" ht="15.75" customHeight="1">
      <c r="A980" s="30"/>
      <c r="B980" s="60"/>
      <c r="C980" s="26"/>
      <c r="D980" s="34"/>
      <c r="E980" s="34"/>
      <c r="F980" s="34"/>
      <c r="G980" s="30"/>
      <c r="I980" s="36"/>
      <c r="J980" s="36"/>
      <c r="K980" s="42"/>
    </row>
    <row r="981" ht="15.75" customHeight="1">
      <c r="A981" s="30"/>
      <c r="B981" s="60"/>
      <c r="C981" s="26"/>
      <c r="D981" s="34"/>
      <c r="E981" s="34"/>
      <c r="F981" s="34"/>
      <c r="G981" s="30"/>
      <c r="I981" s="36"/>
      <c r="J981" s="36"/>
      <c r="K981" s="42"/>
    </row>
    <row r="982" ht="15.75" customHeight="1">
      <c r="A982" s="30"/>
      <c r="B982" s="60"/>
      <c r="C982" s="26"/>
      <c r="D982" s="34"/>
      <c r="E982" s="34"/>
      <c r="F982" s="34"/>
      <c r="G982" s="30"/>
      <c r="I982" s="36"/>
      <c r="J982" s="36"/>
      <c r="K982" s="42"/>
    </row>
    <row r="983" ht="15.75" customHeight="1">
      <c r="A983" s="30"/>
      <c r="B983" s="60"/>
      <c r="C983" s="26"/>
      <c r="D983" s="34"/>
      <c r="E983" s="34"/>
      <c r="F983" s="34"/>
      <c r="G983" s="30"/>
      <c r="I983" s="36"/>
      <c r="J983" s="36"/>
      <c r="K983" s="42"/>
    </row>
    <row r="984" ht="15.75" customHeight="1">
      <c r="A984" s="30"/>
      <c r="B984" s="60"/>
      <c r="C984" s="26"/>
      <c r="D984" s="34"/>
      <c r="E984" s="34"/>
      <c r="F984" s="34"/>
      <c r="G984" s="30"/>
      <c r="I984" s="36"/>
      <c r="J984" s="36"/>
      <c r="K984" s="42"/>
    </row>
    <row r="985" ht="15.75" customHeight="1">
      <c r="A985" s="30"/>
      <c r="B985" s="60"/>
      <c r="C985" s="26"/>
      <c r="D985" s="34"/>
      <c r="E985" s="34"/>
      <c r="F985" s="34"/>
      <c r="G985" s="30"/>
      <c r="I985" s="36"/>
      <c r="J985" s="36"/>
      <c r="K985" s="42"/>
    </row>
    <row r="986" ht="15.75" customHeight="1">
      <c r="A986" s="30"/>
      <c r="B986" s="60"/>
      <c r="C986" s="26"/>
      <c r="D986" s="34"/>
      <c r="E986" s="34"/>
      <c r="F986" s="34"/>
      <c r="G986" s="30"/>
      <c r="I986" s="36"/>
      <c r="J986" s="36"/>
      <c r="K986" s="42"/>
    </row>
    <row r="987" ht="15.75" customHeight="1">
      <c r="A987" s="30"/>
      <c r="B987" s="60"/>
      <c r="C987" s="26"/>
      <c r="D987" s="34"/>
      <c r="E987" s="34"/>
      <c r="F987" s="34"/>
      <c r="G987" s="30"/>
      <c r="I987" s="36"/>
      <c r="J987" s="36"/>
      <c r="K987" s="42"/>
    </row>
    <row r="988" ht="15.75" customHeight="1">
      <c r="A988" s="30"/>
      <c r="B988" s="60"/>
      <c r="C988" s="26"/>
      <c r="D988" s="34"/>
      <c r="E988" s="34"/>
      <c r="F988" s="34"/>
      <c r="G988" s="30"/>
      <c r="I988" s="36"/>
      <c r="J988" s="36"/>
      <c r="K988" s="42"/>
    </row>
    <row r="989" ht="15.75" customHeight="1">
      <c r="A989" s="30"/>
      <c r="B989" s="60"/>
      <c r="C989" s="26"/>
      <c r="D989" s="34"/>
      <c r="E989" s="34"/>
      <c r="F989" s="34"/>
      <c r="G989" s="30"/>
      <c r="I989" s="36"/>
      <c r="J989" s="36"/>
      <c r="K989" s="42"/>
    </row>
    <row r="990" ht="15.75" customHeight="1">
      <c r="A990" s="30"/>
      <c r="B990" s="60"/>
      <c r="C990" s="26"/>
      <c r="D990" s="34"/>
      <c r="E990" s="34"/>
      <c r="F990" s="34"/>
      <c r="G990" s="30"/>
      <c r="I990" s="36"/>
      <c r="J990" s="36"/>
      <c r="K990" s="42"/>
    </row>
    <row r="991" ht="15.75" customHeight="1">
      <c r="A991" s="30"/>
      <c r="B991" s="60"/>
      <c r="C991" s="26"/>
      <c r="D991" s="34"/>
      <c r="E991" s="34"/>
      <c r="F991" s="34"/>
      <c r="G991" s="30"/>
      <c r="I991" s="36"/>
      <c r="J991" s="36"/>
      <c r="K991" s="42"/>
    </row>
    <row r="992" ht="15.75" customHeight="1">
      <c r="A992" s="30"/>
      <c r="B992" s="60"/>
      <c r="C992" s="26"/>
      <c r="D992" s="34"/>
      <c r="E992" s="34"/>
      <c r="F992" s="34"/>
      <c r="G992" s="30"/>
      <c r="I992" s="36"/>
      <c r="J992" s="36"/>
      <c r="K992" s="42"/>
    </row>
    <row r="993" ht="15.75" customHeight="1">
      <c r="A993" s="30"/>
      <c r="B993" s="60"/>
      <c r="C993" s="26"/>
      <c r="D993" s="34"/>
      <c r="E993" s="34"/>
      <c r="F993" s="34"/>
      <c r="G993" s="30"/>
      <c r="I993" s="36"/>
      <c r="J993" s="36"/>
      <c r="K993" s="42"/>
    </row>
    <row r="994" ht="15.75" customHeight="1">
      <c r="A994" s="30"/>
      <c r="B994" s="60"/>
      <c r="C994" s="26"/>
      <c r="D994" s="34"/>
      <c r="E994" s="34"/>
      <c r="F994" s="34"/>
      <c r="G994" s="30"/>
      <c r="I994" s="36"/>
      <c r="J994" s="36"/>
      <c r="K994" s="42"/>
    </row>
    <row r="995" ht="15.75" customHeight="1">
      <c r="A995" s="30"/>
      <c r="B995" s="60"/>
      <c r="C995" s="26"/>
      <c r="D995" s="34"/>
      <c r="E995" s="34"/>
      <c r="F995" s="34"/>
      <c r="G995" s="30"/>
      <c r="I995" s="36"/>
      <c r="J995" s="36"/>
      <c r="K995" s="42"/>
    </row>
    <row r="996" ht="15.75" customHeight="1">
      <c r="A996" s="30"/>
      <c r="B996" s="60"/>
      <c r="C996" s="26"/>
      <c r="D996" s="34"/>
      <c r="E996" s="34"/>
      <c r="F996" s="34"/>
      <c r="G996" s="30"/>
      <c r="I996" s="36"/>
      <c r="J996" s="36"/>
      <c r="K996" s="42"/>
    </row>
    <row r="997" ht="15.75" customHeight="1">
      <c r="A997" s="30"/>
      <c r="B997" s="60"/>
      <c r="C997" s="26"/>
      <c r="D997" s="34"/>
      <c r="E997" s="34"/>
      <c r="F997" s="34"/>
      <c r="G997" s="30"/>
      <c r="I997" s="36"/>
      <c r="J997" s="36"/>
      <c r="K997" s="42"/>
    </row>
    <row r="998" ht="15.75" customHeight="1">
      <c r="A998" s="30"/>
      <c r="B998" s="60"/>
      <c r="C998" s="26"/>
      <c r="D998" s="34"/>
      <c r="E998" s="34"/>
      <c r="F998" s="34"/>
      <c r="G998" s="30"/>
      <c r="I998" s="36"/>
      <c r="J998" s="36"/>
      <c r="K998" s="42"/>
    </row>
    <row r="999" ht="15.75" customHeight="1">
      <c r="A999" s="30"/>
      <c r="B999" s="60"/>
      <c r="C999" s="26"/>
      <c r="D999" s="34"/>
      <c r="E999" s="34"/>
      <c r="F999" s="34"/>
      <c r="G999" s="30"/>
      <c r="I999" s="36"/>
      <c r="J999" s="36"/>
      <c r="K999" s="42"/>
    </row>
    <row r="1000" ht="15.75" customHeight="1">
      <c r="A1000" s="30"/>
      <c r="B1000" s="60"/>
      <c r="C1000" s="26"/>
      <c r="D1000" s="34"/>
      <c r="E1000" s="34"/>
      <c r="F1000" s="34"/>
      <c r="G1000" s="30"/>
      <c r="I1000" s="36"/>
      <c r="J1000" s="36"/>
      <c r="K1000" s="4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11.86"/>
    <col customWidth="1" min="3" max="3" width="9.0"/>
    <col customWidth="1" min="4" max="4" width="10.86"/>
    <col customWidth="1" min="5" max="5" width="10.43"/>
    <col customWidth="1" min="6" max="6" width="10.14"/>
    <col customWidth="1" min="7" max="7" width="10.43"/>
    <col customWidth="1" hidden="1" min="8" max="8" width="7.43"/>
    <col customWidth="1" hidden="1" min="9" max="9" width="7.71"/>
    <col customWidth="1" hidden="1" min="10" max="12" width="8.71"/>
    <col customWidth="1" min="13" max="13" width="10.86"/>
    <col customWidth="1" min="14" max="14" width="42.0"/>
    <col customWidth="1" min="15" max="15" width="13.0"/>
    <col customWidth="1" min="16" max="16" width="9.86"/>
    <col customWidth="1" min="17" max="26" width="8.86"/>
  </cols>
  <sheetData>
    <row r="1">
      <c r="A1" s="6" t="str">
        <f>'ReadMe-Directions'!A1</f>
        <v>Immersive Model for Lake Mead based on the Principle of Divide Reservoir Inflow</v>
      </c>
      <c r="N1" s="8"/>
    </row>
    <row r="2">
      <c r="A2" s="11" t="s">
        <v>9</v>
      </c>
      <c r="B2" s="11"/>
      <c r="C2" s="8"/>
      <c r="N2" s="8"/>
    </row>
    <row r="3" ht="32.25" customHeight="1">
      <c r="A3" s="15" t="s">
        <v>11</v>
      </c>
      <c r="H3" s="18"/>
      <c r="I3" s="18"/>
      <c r="J3" s="18"/>
      <c r="K3" s="18"/>
      <c r="N3" s="22" t="s">
        <v>14</v>
      </c>
    </row>
    <row r="4">
      <c r="A4" s="25" t="s">
        <v>16</v>
      </c>
      <c r="B4" s="25" t="s">
        <v>17</v>
      </c>
      <c r="C4" s="28" t="s">
        <v>18</v>
      </c>
      <c r="D4" s="29"/>
      <c r="E4" s="29"/>
      <c r="F4" s="29"/>
      <c r="G4" s="31"/>
      <c r="N4" s="38" t="s">
        <v>26</v>
      </c>
    </row>
    <row r="5">
      <c r="A5" s="39" t="s">
        <v>46</v>
      </c>
      <c r="B5" s="40" t="s">
        <v>49</v>
      </c>
      <c r="C5" s="41" t="s">
        <v>50</v>
      </c>
      <c r="D5" s="29"/>
      <c r="E5" s="29"/>
      <c r="F5" s="29"/>
      <c r="G5" s="31"/>
      <c r="N5" s="38"/>
    </row>
    <row r="6">
      <c r="A6" s="39" t="s">
        <v>55</v>
      </c>
      <c r="B6" s="40" t="s">
        <v>56</v>
      </c>
      <c r="C6" s="43" t="s">
        <v>57</v>
      </c>
      <c r="D6" s="29"/>
      <c r="E6" s="29"/>
      <c r="F6" s="29"/>
      <c r="G6" s="31"/>
      <c r="N6" s="44"/>
    </row>
    <row r="7" ht="51.0" customHeight="1">
      <c r="A7" s="39" t="s">
        <v>59</v>
      </c>
      <c r="B7" s="40" t="s">
        <v>60</v>
      </c>
      <c r="C7" s="41" t="s">
        <v>61</v>
      </c>
      <c r="D7" s="29"/>
      <c r="E7" s="29"/>
      <c r="F7" s="29"/>
      <c r="G7" s="31"/>
      <c r="N7" s="44"/>
    </row>
    <row r="8">
      <c r="A8" s="39" t="s">
        <v>62</v>
      </c>
      <c r="B8" s="40" t="s">
        <v>49</v>
      </c>
      <c r="C8" s="41" t="s">
        <v>63</v>
      </c>
      <c r="D8" s="29"/>
      <c r="E8" s="29"/>
      <c r="F8" s="29"/>
      <c r="G8" s="31"/>
      <c r="N8" s="44"/>
    </row>
    <row r="9">
      <c r="A9" s="39" t="s">
        <v>65</v>
      </c>
      <c r="B9" s="40" t="s">
        <v>66</v>
      </c>
      <c r="C9" s="41" t="s">
        <v>67</v>
      </c>
      <c r="D9" s="29"/>
      <c r="E9" s="29"/>
      <c r="F9" s="29"/>
      <c r="G9" s="31"/>
      <c r="N9" s="44"/>
    </row>
    <row r="10">
      <c r="A10" s="39" t="s">
        <v>68</v>
      </c>
      <c r="B10" s="40" t="s">
        <v>56</v>
      </c>
      <c r="C10" s="41" t="s">
        <v>69</v>
      </c>
      <c r="D10" s="29"/>
      <c r="E10" s="29"/>
      <c r="F10" s="29"/>
      <c r="G10" s="31"/>
      <c r="N10" s="44"/>
    </row>
    <row r="11">
      <c r="A11" s="48"/>
      <c r="B11" s="8"/>
      <c r="N11" s="44"/>
    </row>
    <row r="12">
      <c r="A12" s="50" t="s">
        <v>71</v>
      </c>
      <c r="B12" s="51" t="s">
        <v>72</v>
      </c>
      <c r="C12" s="29"/>
      <c r="D12" s="31"/>
      <c r="N12" s="38" t="s">
        <v>73</v>
      </c>
    </row>
    <row r="13">
      <c r="B13" s="59" t="s">
        <v>76</v>
      </c>
      <c r="C13" s="29"/>
      <c r="D13" s="31"/>
      <c r="N13" s="8"/>
    </row>
    <row r="14">
      <c r="B14" s="63" t="s">
        <v>77</v>
      </c>
      <c r="C14" s="29"/>
      <c r="D14" s="31"/>
      <c r="N14" s="44"/>
    </row>
    <row r="15">
      <c r="B15" s="65" t="s">
        <v>79</v>
      </c>
      <c r="C15" s="29"/>
      <c r="D15" s="31"/>
      <c r="N15" s="44"/>
    </row>
    <row r="16">
      <c r="C16" s="8"/>
      <c r="N16" s="44"/>
    </row>
    <row r="17">
      <c r="A17" s="11" t="s">
        <v>81</v>
      </c>
      <c r="B17" s="67" t="s">
        <v>82</v>
      </c>
      <c r="C17" s="67" t="s">
        <v>83</v>
      </c>
      <c r="N17" s="38" t="s">
        <v>84</v>
      </c>
    </row>
    <row r="18">
      <c r="A18" s="68" t="s">
        <v>85</v>
      </c>
      <c r="B18" s="70">
        <v>6.0</v>
      </c>
      <c r="C18" s="8"/>
      <c r="D18" s="71"/>
      <c r="N18" s="38" t="s">
        <v>88</v>
      </c>
    </row>
    <row r="19">
      <c r="A19" s="68" t="s">
        <v>89</v>
      </c>
      <c r="B19" s="74">
        <v>1025.0</v>
      </c>
      <c r="C19" s="78">
        <f>VLOOKUP(B19,'Mead-Elevation-Area'!$A$5:$B$676,2)/1000000</f>
        <v>5.981122</v>
      </c>
      <c r="D19" s="80" t="s">
        <v>92</v>
      </c>
      <c r="F19" s="81" t="s">
        <v>93</v>
      </c>
      <c r="N19" s="38" t="s">
        <v>96</v>
      </c>
    </row>
    <row r="20">
      <c r="A20" s="84" t="str">
        <f>"     Set "&amp;A5</f>
        <v>     Set Reclamation - Protect Zone</v>
      </c>
      <c r="B20" s="85">
        <v>1020.0</v>
      </c>
      <c r="C20" s="87">
        <f>VLOOKUP(IF(B20="",895,B20),'Mead-Elevation-Area'!$A$5:$B$689,2)/1000000</f>
        <v>5.664593</v>
      </c>
      <c r="D20" s="89"/>
      <c r="N20" s="38" t="s">
        <v>99</v>
      </c>
    </row>
    <row r="21" ht="15.75" customHeight="1">
      <c r="A21" s="68" t="s">
        <v>100</v>
      </c>
      <c r="C21" s="87">
        <f>C19-C20</f>
        <v>0.316529</v>
      </c>
      <c r="D21" s="91"/>
      <c r="E21" s="92"/>
      <c r="F21" s="91"/>
      <c r="N21" s="38" t="s">
        <v>102</v>
      </c>
    </row>
    <row r="22" ht="15.75" customHeight="1">
      <c r="A22" s="68" t="s">
        <v>103</v>
      </c>
      <c r="C22" s="94">
        <v>3.534</v>
      </c>
      <c r="D22" s="95" t="s">
        <v>104</v>
      </c>
      <c r="E22" s="92"/>
      <c r="F22" s="92"/>
      <c r="N22" s="38" t="s">
        <v>105</v>
      </c>
    </row>
    <row r="23" ht="15.75" customHeight="1">
      <c r="A23" s="68" t="s">
        <v>108</v>
      </c>
      <c r="C23" s="87">
        <f>C21-C22</f>
        <v>-3.217471</v>
      </c>
      <c r="D23" s="97"/>
      <c r="E23" s="92"/>
      <c r="N23" s="38" t="s">
        <v>110</v>
      </c>
    </row>
    <row r="24" ht="15.75" customHeight="1">
      <c r="A24" s="68" t="s">
        <v>113</v>
      </c>
      <c r="B24" s="100">
        <f>TribalWater!H7</f>
        <v>0.1643810584</v>
      </c>
      <c r="D24" s="97"/>
      <c r="E24" s="92"/>
      <c r="N24" s="38" t="s">
        <v>115</v>
      </c>
    </row>
    <row r="25" ht="15.75" customHeight="1">
      <c r="A25" s="68" t="s">
        <v>118</v>
      </c>
      <c r="B25" s="102">
        <f>1-B24</f>
        <v>0.8356189416</v>
      </c>
      <c r="D25" s="97"/>
      <c r="E25" s="92"/>
      <c r="N25" s="38" t="s">
        <v>120</v>
      </c>
    </row>
    <row r="26" ht="15.75" customHeight="1">
      <c r="B26" s="92"/>
      <c r="C26" s="8"/>
      <c r="N26" s="44"/>
    </row>
    <row r="27" ht="15.75" customHeight="1">
      <c r="A27" s="106" t="s">
        <v>121</v>
      </c>
      <c r="B27" s="109" t="s">
        <v>124</v>
      </c>
      <c r="C27" s="109" t="s">
        <v>125</v>
      </c>
      <c r="D27" s="109" t="s">
        <v>127</v>
      </c>
      <c r="E27" s="109" t="s">
        <v>128</v>
      </c>
      <c r="F27" s="109" t="s">
        <v>129</v>
      </c>
      <c r="G27" s="109" t="s">
        <v>130</v>
      </c>
      <c r="H27" s="109" t="s">
        <v>131</v>
      </c>
      <c r="I27" s="109" t="s">
        <v>132</v>
      </c>
      <c r="J27" s="109" t="s">
        <v>134</v>
      </c>
      <c r="K27" s="109" t="s">
        <v>135</v>
      </c>
      <c r="L27" s="109" t="s">
        <v>136</v>
      </c>
      <c r="M27" s="109" t="s">
        <v>116</v>
      </c>
      <c r="N27" s="112" t="str">
        <f>N3</f>
        <v>HELP, CONTEXT, and SUGGESTIONS</v>
      </c>
      <c r="O27" s="11"/>
      <c r="P27" s="11"/>
      <c r="Q27" s="11"/>
      <c r="R27" s="11"/>
      <c r="S27" s="11"/>
      <c r="T27" s="11"/>
      <c r="U27" s="11"/>
      <c r="V27" s="11"/>
      <c r="W27" s="11"/>
      <c r="X27" s="11"/>
      <c r="Y27" s="11"/>
      <c r="Z27" s="11"/>
    </row>
    <row r="28" ht="15.75" customHeight="1">
      <c r="A28" s="84" t="s">
        <v>141</v>
      </c>
      <c r="B28" s="11"/>
      <c r="C28" s="116">
        <v>3.8</v>
      </c>
      <c r="D28" s="116">
        <v>6.3</v>
      </c>
      <c r="E28" s="118"/>
      <c r="F28" s="118"/>
      <c r="G28" s="118"/>
      <c r="H28" s="118"/>
      <c r="I28" s="118"/>
      <c r="J28" s="118"/>
      <c r="K28" s="118"/>
      <c r="L28" s="118"/>
      <c r="N28" s="38" t="s">
        <v>143</v>
      </c>
    </row>
    <row r="29" ht="15.75" hidden="1" customHeight="1">
      <c r="A29" s="11" t="s">
        <v>144</v>
      </c>
      <c r="B29" s="11"/>
      <c r="C29" s="124">
        <f t="shared" ref="C29:L29" si="1">IF(C$28&lt;&gt;"",0.8,"")</f>
        <v>0.8</v>
      </c>
      <c r="D29" s="124">
        <f t="shared" si="1"/>
        <v>0.8</v>
      </c>
      <c r="E29" s="124" t="str">
        <f t="shared" si="1"/>
        <v/>
      </c>
      <c r="F29" s="124" t="str">
        <f t="shared" si="1"/>
        <v/>
      </c>
      <c r="G29" s="124" t="str">
        <f t="shared" si="1"/>
        <v/>
      </c>
      <c r="H29" s="124" t="str">
        <f t="shared" si="1"/>
        <v/>
      </c>
      <c r="I29" s="124" t="str">
        <f t="shared" si="1"/>
        <v/>
      </c>
      <c r="J29" s="124" t="str">
        <f t="shared" si="1"/>
        <v/>
      </c>
      <c r="K29" s="124" t="str">
        <f t="shared" si="1"/>
        <v/>
      </c>
      <c r="L29" s="124" t="str">
        <f t="shared" si="1"/>
        <v/>
      </c>
      <c r="N29" s="38" t="s">
        <v>147</v>
      </c>
    </row>
    <row r="30" ht="15.75" hidden="1" customHeight="1">
      <c r="A30" s="11" t="s">
        <v>164</v>
      </c>
      <c r="B30" s="11"/>
      <c r="C30" s="124">
        <f t="shared" ref="C30:L30" si="2">IF(C$28&lt;&gt;"",0.2,"")</f>
        <v>0.2</v>
      </c>
      <c r="D30" s="124">
        <f t="shared" si="2"/>
        <v>0.2</v>
      </c>
      <c r="E30" s="124" t="str">
        <f t="shared" si="2"/>
        <v/>
      </c>
      <c r="F30" s="124" t="str">
        <f t="shared" si="2"/>
        <v/>
      </c>
      <c r="G30" s="124" t="str">
        <f t="shared" si="2"/>
        <v/>
      </c>
      <c r="H30" s="124" t="str">
        <f t="shared" si="2"/>
        <v/>
      </c>
      <c r="I30" s="124" t="str">
        <f t="shared" si="2"/>
        <v/>
      </c>
      <c r="J30" s="124" t="str">
        <f t="shared" si="2"/>
        <v/>
      </c>
      <c r="K30" s="124" t="str">
        <f t="shared" si="2"/>
        <v/>
      </c>
      <c r="L30" s="124" t="str">
        <f t="shared" si="2"/>
        <v/>
      </c>
      <c r="N30" s="38" t="s">
        <v>167</v>
      </c>
    </row>
    <row r="31" ht="15.75" hidden="1" customHeight="1">
      <c r="A31" s="11" t="s">
        <v>168</v>
      </c>
      <c r="B31" s="11"/>
      <c r="C31" s="124">
        <f t="shared" ref="C31:L31" si="3">IF(C$28&lt;&gt;"",0.6,"")</f>
        <v>0.6</v>
      </c>
      <c r="D31" s="124">
        <f t="shared" si="3"/>
        <v>0.6</v>
      </c>
      <c r="E31" s="124" t="str">
        <f t="shared" si="3"/>
        <v/>
      </c>
      <c r="F31" s="124" t="str">
        <f t="shared" si="3"/>
        <v/>
      </c>
      <c r="G31" s="124" t="str">
        <f t="shared" si="3"/>
        <v/>
      </c>
      <c r="H31" s="124" t="str">
        <f t="shared" si="3"/>
        <v/>
      </c>
      <c r="I31" s="124" t="str">
        <f t="shared" si="3"/>
        <v/>
      </c>
      <c r="J31" s="124" t="str">
        <f t="shared" si="3"/>
        <v/>
      </c>
      <c r="K31" s="124" t="str">
        <f t="shared" si="3"/>
        <v/>
      </c>
      <c r="L31" s="124" t="str">
        <f t="shared" si="3"/>
        <v/>
      </c>
      <c r="N31" s="38" t="s">
        <v>170</v>
      </c>
    </row>
    <row r="32" ht="15.75" customHeight="1">
      <c r="A32" s="11" t="s">
        <v>172</v>
      </c>
      <c r="B32" s="11"/>
      <c r="C32" s="8"/>
      <c r="H32" s="124"/>
      <c r="I32" s="124"/>
      <c r="J32" s="124"/>
      <c r="K32" s="124"/>
      <c r="L32" s="124"/>
      <c r="N32" s="38"/>
    </row>
    <row r="33" ht="15.75" customHeight="1">
      <c r="A33" s="11" t="s">
        <v>173</v>
      </c>
      <c r="B33" s="11"/>
      <c r="C33" s="87">
        <f t="shared" ref="C33:G33" si="4">IF(C$28&lt;&gt;"",IF(COLUMN(C28)=COLUMN($C28),$C$19,B149),"")</f>
        <v>5.981122</v>
      </c>
      <c r="D33" s="87">
        <f t="shared" si="4"/>
        <v>5.631532677</v>
      </c>
      <c r="E33" s="87" t="str">
        <f t="shared" si="4"/>
        <v/>
      </c>
      <c r="F33" s="87" t="str">
        <f t="shared" si="4"/>
        <v/>
      </c>
      <c r="G33" s="87" t="str">
        <f t="shared" si="4"/>
        <v/>
      </c>
      <c r="H33" s="124"/>
      <c r="I33" s="124"/>
      <c r="J33" s="124"/>
      <c r="K33" s="124"/>
      <c r="L33" s="124"/>
      <c r="N33" s="38"/>
    </row>
    <row r="34" ht="15.75" customHeight="1">
      <c r="A34" s="11" t="s">
        <v>180</v>
      </c>
      <c r="B34" s="11"/>
      <c r="C34" s="144">
        <f t="shared" ref="C34:G34" si="5">IF(C$28&lt;&gt;"",IF(COLUMN(C29)=COLUMN($C29),$B$19,B150),"")</f>
        <v>1025</v>
      </c>
      <c r="D34" s="144">
        <f t="shared" si="5"/>
        <v>1019</v>
      </c>
      <c r="E34" s="144" t="str">
        <f t="shared" si="5"/>
        <v/>
      </c>
      <c r="F34" s="144" t="str">
        <f t="shared" si="5"/>
        <v/>
      </c>
      <c r="G34" s="144" t="str">
        <f t="shared" si="5"/>
        <v/>
      </c>
      <c r="H34" s="124"/>
      <c r="I34" s="124"/>
      <c r="J34" s="124"/>
      <c r="K34" s="124"/>
      <c r="L34" s="124"/>
      <c r="N34" s="38"/>
    </row>
    <row r="35" ht="15.75" customHeight="1">
      <c r="A35" s="84" t="s">
        <v>185</v>
      </c>
      <c r="H35" s="87" t="str">
        <f>IF(H$28&lt;&gt;"",G149,"")</f>
        <v/>
      </c>
      <c r="I35" s="87" t="str">
        <f t="shared" ref="I35:L35" si="6">IF(I$28&lt;&gt;"",H148,"")</f>
        <v/>
      </c>
      <c r="J35" s="87" t="str">
        <f t="shared" si="6"/>
        <v/>
      </c>
      <c r="K35" s="87" t="str">
        <f t="shared" si="6"/>
        <v/>
      </c>
      <c r="L35" s="87" t="str">
        <f t="shared" si="6"/>
        <v/>
      </c>
      <c r="M35" s="150"/>
      <c r="N35" s="38" t="s">
        <v>189</v>
      </c>
    </row>
    <row r="36" ht="15.75" customHeight="1">
      <c r="A36" s="68" t="str">
        <f t="shared" ref="A36:A41" si="8">IF(A5="","","    "&amp;A5&amp;" Balance")</f>
        <v>    Reclamation - Protect Zone Balance</v>
      </c>
      <c r="B36" s="154">
        <f>C20</f>
        <v>5.664593</v>
      </c>
      <c r="C36" s="156">
        <f t="shared" ref="C36:C41" si="9">IF(OR(C$28="",$A36=""),"",B36)</f>
        <v>5.664593</v>
      </c>
      <c r="D36" s="87">
        <f t="shared" ref="D36:L36" si="7">IF(OR(D$28="",$A36=""),"",C142)</f>
        <v>5.614593</v>
      </c>
      <c r="E36" s="87" t="str">
        <f t="shared" si="7"/>
        <v/>
      </c>
      <c r="F36" s="87" t="str">
        <f t="shared" si="7"/>
        <v/>
      </c>
      <c r="G36" s="87" t="str">
        <f t="shared" si="7"/>
        <v/>
      </c>
      <c r="H36" s="87" t="str">
        <f t="shared" si="7"/>
        <v/>
      </c>
      <c r="I36" s="87" t="str">
        <f t="shared" si="7"/>
        <v/>
      </c>
      <c r="J36" s="87" t="str">
        <f t="shared" si="7"/>
        <v/>
      </c>
      <c r="K36" s="87" t="str">
        <f t="shared" si="7"/>
        <v/>
      </c>
      <c r="L36" s="87" t="str">
        <f t="shared" si="7"/>
        <v/>
      </c>
      <c r="M36" s="150"/>
      <c r="N36" s="44"/>
    </row>
    <row r="37" ht="15.75" customHeight="1">
      <c r="A37" s="68" t="str">
        <f t="shared" si="8"/>
        <v>    California Balance</v>
      </c>
      <c r="B37" s="154">
        <f>1.662*IF(C23&gt;0,1,(C21/C22))</f>
        <v>0.1488599881</v>
      </c>
      <c r="C37" s="156">
        <f t="shared" si="9"/>
        <v>0.1488599881</v>
      </c>
      <c r="D37" s="87">
        <f t="shared" ref="D37:L37" si="10">IF(OR(D$28="",$A37=""),"",C143)</f>
        <v>0.0282648114</v>
      </c>
      <c r="E37" s="87" t="str">
        <f t="shared" si="10"/>
        <v/>
      </c>
      <c r="F37" s="87" t="str">
        <f t="shared" si="10"/>
        <v/>
      </c>
      <c r="G37" s="87" t="str">
        <f t="shared" si="10"/>
        <v/>
      </c>
      <c r="H37" s="87" t="str">
        <f t="shared" si="10"/>
        <v/>
      </c>
      <c r="I37" s="87" t="str">
        <f t="shared" si="10"/>
        <v/>
      </c>
      <c r="J37" s="87" t="str">
        <f t="shared" si="10"/>
        <v/>
      </c>
      <c r="K37" s="87" t="str">
        <f t="shared" si="10"/>
        <v/>
      </c>
      <c r="L37" s="87" t="str">
        <f t="shared" si="10"/>
        <v/>
      </c>
      <c r="M37" s="91"/>
      <c r="N37" s="44"/>
    </row>
    <row r="38" ht="15.75" customHeight="1">
      <c r="A38" s="68" t="str">
        <f t="shared" si="8"/>
        <v>    Arizona Balance</v>
      </c>
      <c r="B38" s="154">
        <f>0.711*IF(C23&gt;0,1,C21/C22)</f>
        <v>0.06368198048</v>
      </c>
      <c r="C38" s="156">
        <f t="shared" si="9"/>
        <v>0.06368198048</v>
      </c>
      <c r="D38" s="78">
        <f t="shared" ref="D38:L38" si="11">IF(OR(D$28="",$A38=""),"",C144)</f>
        <v>0</v>
      </c>
      <c r="E38" s="78" t="str">
        <f t="shared" si="11"/>
        <v/>
      </c>
      <c r="F38" s="78" t="str">
        <f t="shared" si="11"/>
        <v/>
      </c>
      <c r="G38" s="78" t="str">
        <f t="shared" si="11"/>
        <v/>
      </c>
      <c r="H38" s="87" t="str">
        <f t="shared" si="11"/>
        <v/>
      </c>
      <c r="I38" s="87" t="str">
        <f t="shared" si="11"/>
        <v/>
      </c>
      <c r="J38" s="87" t="str">
        <f t="shared" si="11"/>
        <v/>
      </c>
      <c r="K38" s="87" t="str">
        <f t="shared" si="11"/>
        <v/>
      </c>
      <c r="L38" s="87" t="str">
        <f t="shared" si="11"/>
        <v/>
      </c>
      <c r="M38" s="92"/>
      <c r="N38" s="44"/>
    </row>
    <row r="39" ht="15.75" customHeight="1">
      <c r="A39" s="68" t="str">
        <f t="shared" si="8"/>
        <v>    Nevada Balance</v>
      </c>
      <c r="B39" s="154">
        <f>0.9556*IF(C23&gt;0,1,C21/C22)</f>
        <v>0.08559001483</v>
      </c>
      <c r="C39" s="156">
        <f t="shared" si="9"/>
        <v>0.08559001483</v>
      </c>
      <c r="D39" s="87">
        <f t="shared" ref="D39:L39" si="12">IF(OR(D$28="",$A39=""),"",C145)</f>
        <v>0.004832519393</v>
      </c>
      <c r="E39" s="87" t="str">
        <f t="shared" si="12"/>
        <v/>
      </c>
      <c r="F39" s="87" t="str">
        <f t="shared" si="12"/>
        <v/>
      </c>
      <c r="G39" s="87" t="str">
        <f t="shared" si="12"/>
        <v/>
      </c>
      <c r="H39" s="87" t="str">
        <f t="shared" si="12"/>
        <v/>
      </c>
      <c r="I39" s="87" t="str">
        <f t="shared" si="12"/>
        <v/>
      </c>
      <c r="J39" s="87" t="str">
        <f t="shared" si="12"/>
        <v/>
      </c>
      <c r="K39" s="87" t="str">
        <f t="shared" si="12"/>
        <v/>
      </c>
      <c r="L39" s="87" t="str">
        <f t="shared" si="12"/>
        <v/>
      </c>
      <c r="N39" s="44"/>
    </row>
    <row r="40" ht="15.75" customHeight="1">
      <c r="A40" s="68" t="str">
        <f t="shared" si="8"/>
        <v>    Mexico Balance</v>
      </c>
      <c r="B40" s="154">
        <f>0.211*IF(C23&gt;0,1,C21/C22)</f>
        <v>0.01889859055</v>
      </c>
      <c r="C40" s="156">
        <f t="shared" si="9"/>
        <v>0.01889859055</v>
      </c>
      <c r="D40" s="87">
        <f t="shared" ref="D40:L40" si="13">IF(OR(D$28="",$A40=""),"",C146)</f>
        <v>0.02033021153</v>
      </c>
      <c r="E40" s="87" t="str">
        <f t="shared" si="13"/>
        <v/>
      </c>
      <c r="F40" s="87" t="str">
        <f t="shared" si="13"/>
        <v/>
      </c>
      <c r="G40" s="87" t="str">
        <f t="shared" si="13"/>
        <v/>
      </c>
      <c r="H40" s="87" t="str">
        <f t="shared" si="13"/>
        <v/>
      </c>
      <c r="I40" s="87" t="str">
        <f t="shared" si="13"/>
        <v/>
      </c>
      <c r="J40" s="87" t="str">
        <f t="shared" si="13"/>
        <v/>
      </c>
      <c r="K40" s="87" t="str">
        <f t="shared" si="13"/>
        <v/>
      </c>
      <c r="L40" s="87" t="str">
        <f t="shared" si="13"/>
        <v/>
      </c>
      <c r="N40" s="44"/>
    </row>
    <row r="41" ht="15.75" customHeight="1">
      <c r="A41" s="68" t="str">
        <f t="shared" si="8"/>
        <v>    Tribal Nations of the Lower Basin Balance</v>
      </c>
      <c r="B41" s="154">
        <f>IF(C23&gt;0,C23,0)</f>
        <v>0</v>
      </c>
      <c r="C41" s="156">
        <f t="shared" si="9"/>
        <v>0</v>
      </c>
      <c r="D41" s="87">
        <f t="shared" ref="D41:L41" si="14">IF(OR(D$28="",$A41=""),"",C147)</f>
        <v>-0.03648786575</v>
      </c>
      <c r="E41" s="87" t="str">
        <f t="shared" si="14"/>
        <v/>
      </c>
      <c r="F41" s="87" t="str">
        <f t="shared" si="14"/>
        <v/>
      </c>
      <c r="G41" s="87" t="str">
        <f t="shared" si="14"/>
        <v/>
      </c>
      <c r="H41" s="87" t="str">
        <f t="shared" si="14"/>
        <v/>
      </c>
      <c r="I41" s="87" t="str">
        <f t="shared" si="14"/>
        <v/>
      </c>
      <c r="J41" s="87" t="str">
        <f t="shared" si="14"/>
        <v/>
      </c>
      <c r="K41" s="87" t="str">
        <f t="shared" si="14"/>
        <v/>
      </c>
      <c r="L41" s="87" t="str">
        <f t="shared" si="14"/>
        <v/>
      </c>
      <c r="N41" s="44"/>
    </row>
    <row r="42" ht="15.75" hidden="1" customHeight="1">
      <c r="A42" s="11" t="s">
        <v>235</v>
      </c>
      <c r="N42" s="38" t="s">
        <v>236</v>
      </c>
    </row>
    <row r="43" ht="15.75" hidden="1" customHeight="1">
      <c r="A43" s="68" t="s">
        <v>238</v>
      </c>
      <c r="C43" s="87">
        <f t="shared" ref="C43:L43" si="15">IF(C$28&lt;&gt;"",IF(COLUMN(C27)=COLUMN($C27),$B$19,#REF!),"")</f>
        <v>1025</v>
      </c>
      <c r="D43" s="87" t="str">
        <f t="shared" si="15"/>
        <v>#REF!</v>
      </c>
      <c r="E43" s="87" t="str">
        <f t="shared" si="15"/>
        <v/>
      </c>
      <c r="F43" s="87" t="str">
        <f t="shared" si="15"/>
        <v/>
      </c>
      <c r="G43" s="87" t="str">
        <f t="shared" si="15"/>
        <v/>
      </c>
      <c r="H43" s="87" t="str">
        <f t="shared" si="15"/>
        <v/>
      </c>
      <c r="I43" s="87" t="str">
        <f t="shared" si="15"/>
        <v/>
      </c>
      <c r="J43" s="87" t="str">
        <f t="shared" si="15"/>
        <v/>
      </c>
      <c r="K43" s="87" t="str">
        <f t="shared" si="15"/>
        <v/>
      </c>
      <c r="L43" s="87" t="str">
        <f t="shared" si="15"/>
        <v/>
      </c>
      <c r="N43" s="44"/>
    </row>
    <row r="44" ht="15.75" hidden="1" customHeight="1">
      <c r="A44" s="68" t="s">
        <v>241</v>
      </c>
      <c r="C44" s="8"/>
      <c r="H44" s="87" t="str">
        <f t="shared" ref="H44:L44" si="16">IF(H$28&lt;&gt;"",IF(COLUMN(H28)=COLUMN($C28),$C$19,#REF!),"")</f>
        <v/>
      </c>
      <c r="I44" s="87" t="str">
        <f t="shared" si="16"/>
        <v/>
      </c>
      <c r="J44" s="87" t="str">
        <f t="shared" si="16"/>
        <v/>
      </c>
      <c r="K44" s="87" t="str">
        <f t="shared" si="16"/>
        <v/>
      </c>
      <c r="L44" s="87" t="str">
        <f t="shared" si="16"/>
        <v/>
      </c>
      <c r="N44" s="44"/>
    </row>
    <row r="45" ht="15.75" customHeight="1">
      <c r="A45" s="11" t="s">
        <v>244</v>
      </c>
      <c r="B45" s="186"/>
      <c r="C45" s="87">
        <f>IF(C$28&lt;&gt;"",VLOOKUP(C33*1000000,'Mead-Elevation-Area'!$B$5:$D$676,3)*$B$18/1000000,"")</f>
        <v>0.384468</v>
      </c>
      <c r="D45" s="87">
        <f>IF(D$28&lt;&gt;"",VLOOKUP(D33*1000000,'Mead-Elevation-Area'!$B$5:$D$676,3)*$B$18/1000000,"")</f>
        <v>0.373362</v>
      </c>
      <c r="E45" s="87" t="str">
        <f>IF(E$28&lt;&gt;"",VLOOKUP(E33*1000000,'Mead-Elevation-Area'!$B$5:$D$676,3)*$B$18/1000000,"")</f>
        <v/>
      </c>
      <c r="F45" s="87" t="str">
        <f>IF(F$28&lt;&gt;"",VLOOKUP(F33*1000000,'Mead-Elevation-Area'!$B$5:$D$676,3)*$B$18/1000000,"")</f>
        <v/>
      </c>
      <c r="G45" s="87" t="str">
        <f>IF(G$28&lt;&gt;"",VLOOKUP(G33*1000000,'Mead-Elevation-Area'!$B$5:$D$676,3)*$B$18/1000000,"")</f>
        <v/>
      </c>
      <c r="H45" s="87" t="str">
        <f>IF(H$28&lt;&gt;"",VLOOKUP(H33*1000000,'Mead-Elevation-Area'!$B$5:$D$676,3)*$B$18/1000000,"")</f>
        <v/>
      </c>
      <c r="I45" s="87" t="str">
        <f>IF(I$28&lt;&gt;"",VLOOKUP(I33*1000000,'Mead-Elevation-Area'!$B$5:$D$676,3)*$B$18/1000000,"")</f>
        <v/>
      </c>
      <c r="J45" s="87" t="str">
        <f>IF(J$28&lt;&gt;"",VLOOKUP(J33*1000000,'Mead-Elevation-Area'!$B$5:$D$676,3)*$B$18/1000000,"")</f>
        <v/>
      </c>
      <c r="K45" s="87" t="str">
        <f>IF(K$28&lt;&gt;"",VLOOKUP(K33*1000000,'Mead-Elevation-Area'!$B$5:$D$676,3)*$B$18/1000000,"")</f>
        <v/>
      </c>
      <c r="L45" s="87" t="str">
        <f>IF(L$28&lt;&gt;"",VLOOKUP(L33*1000000,'Mead-Elevation-Area'!$B$5:$D$676,3)*$B$18/1000000,"")</f>
        <v/>
      </c>
      <c r="N45" s="38" t="s">
        <v>258</v>
      </c>
    </row>
    <row r="46" ht="15.75" customHeight="1">
      <c r="A46" s="68" t="str">
        <f t="shared" ref="A46:A51" si="19">IF(A5="","","    "&amp;A5&amp;" Share")</f>
        <v>    Reclamation - Protect Zone Share</v>
      </c>
      <c r="C46" s="87">
        <f t="shared" ref="C46:G46" si="17">IF(OR(C$28="",$A46=""),"",C$45*C36/C$33)</f>
        <v>0.3641214377</v>
      </c>
      <c r="D46" s="87">
        <f t="shared" si="17"/>
        <v>0.3722389254</v>
      </c>
      <c r="E46" s="87" t="str">
        <f t="shared" si="17"/>
        <v/>
      </c>
      <c r="F46" s="87" t="str">
        <f t="shared" si="17"/>
        <v/>
      </c>
      <c r="G46" s="87" t="str">
        <f t="shared" si="17"/>
        <v/>
      </c>
      <c r="H46" s="87" t="str">
        <f t="shared" ref="H46:L46" si="18">IF(OR(H$28="",$A46=""),"",H$45*H36/H$35)</f>
        <v/>
      </c>
      <c r="I46" s="87" t="str">
        <f t="shared" si="18"/>
        <v/>
      </c>
      <c r="J46" s="87" t="str">
        <f t="shared" si="18"/>
        <v/>
      </c>
      <c r="K46" s="87" t="str">
        <f t="shared" si="18"/>
        <v/>
      </c>
      <c r="L46" s="87" t="str">
        <f t="shared" si="18"/>
        <v/>
      </c>
      <c r="N46" s="44"/>
    </row>
    <row r="47" ht="15.75" customHeight="1">
      <c r="A47" s="68" t="str">
        <f t="shared" si="19"/>
        <v>    California Share</v>
      </c>
      <c r="B47" s="11"/>
      <c r="C47" s="87">
        <f t="shared" ref="C47:G47" si="20">IF(OR(C$28="",$A47=""),"",C$45*C37/C$33)</f>
        <v>0.009568756817</v>
      </c>
      <c r="D47" s="87">
        <f t="shared" si="20"/>
        <v>0.00187391375</v>
      </c>
      <c r="E47" s="87" t="str">
        <f t="shared" si="20"/>
        <v/>
      </c>
      <c r="F47" s="87" t="str">
        <f t="shared" si="20"/>
        <v/>
      </c>
      <c r="G47" s="87" t="str">
        <f t="shared" si="20"/>
        <v/>
      </c>
      <c r="H47" s="87" t="str">
        <f t="shared" ref="H47:L47" si="21">IF(OR(H$28="",$A47=""),"",H$45*H37/H$35)</f>
        <v/>
      </c>
      <c r="I47" s="87" t="str">
        <f t="shared" si="21"/>
        <v/>
      </c>
      <c r="J47" s="87" t="str">
        <f t="shared" si="21"/>
        <v/>
      </c>
      <c r="K47" s="87" t="str">
        <f t="shared" si="21"/>
        <v/>
      </c>
      <c r="L47" s="87" t="str">
        <f t="shared" si="21"/>
        <v/>
      </c>
      <c r="N47" s="44"/>
    </row>
    <row r="48" ht="15.75" customHeight="1">
      <c r="A48" s="68" t="str">
        <f t="shared" si="19"/>
        <v>    Arizona Share</v>
      </c>
      <c r="B48" s="11"/>
      <c r="C48" s="87">
        <f t="shared" ref="C48:G48" si="22">IF(OR(C$28="",$A48=""),"",C$45*C38/C$33)</f>
        <v>0.00409349344</v>
      </c>
      <c r="D48" s="87">
        <f t="shared" si="22"/>
        <v>0</v>
      </c>
      <c r="E48" s="87" t="str">
        <f t="shared" si="22"/>
        <v/>
      </c>
      <c r="F48" s="87" t="str">
        <f t="shared" si="22"/>
        <v/>
      </c>
      <c r="G48" s="87" t="str">
        <f t="shared" si="22"/>
        <v/>
      </c>
      <c r="H48" s="87" t="str">
        <f t="shared" ref="H48:L48" si="23">IF(OR(H$28="",$A48=""),"",H$45*H38/H$35)</f>
        <v/>
      </c>
      <c r="I48" s="87" t="str">
        <f t="shared" si="23"/>
        <v/>
      </c>
      <c r="J48" s="87" t="str">
        <f t="shared" si="23"/>
        <v/>
      </c>
      <c r="K48" s="87" t="str">
        <f t="shared" si="23"/>
        <v/>
      </c>
      <c r="L48" s="87" t="str">
        <f t="shared" si="23"/>
        <v/>
      </c>
      <c r="N48" s="44"/>
    </row>
    <row r="49" ht="15.75" customHeight="1">
      <c r="A49" s="68" t="str">
        <f t="shared" si="19"/>
        <v>    Nevada Share</v>
      </c>
      <c r="B49" s="11"/>
      <c r="C49" s="87">
        <f t="shared" ref="C49:G49" si="24">IF(OR(C$28="",$A49=""),"",C$45*C39/C$33)</f>
        <v>0.005501747301</v>
      </c>
      <c r="D49" s="87">
        <f t="shared" si="24"/>
        <v>0.0003203886418</v>
      </c>
      <c r="E49" s="87" t="str">
        <f t="shared" si="24"/>
        <v/>
      </c>
      <c r="F49" s="87" t="str">
        <f t="shared" si="24"/>
        <v/>
      </c>
      <c r="G49" s="87" t="str">
        <f t="shared" si="24"/>
        <v/>
      </c>
      <c r="H49" s="87" t="str">
        <f t="shared" ref="H49:L49" si="25">IF(OR(H$28="",$A49=""),"",H$45*H39/H$35)</f>
        <v/>
      </c>
      <c r="I49" s="87" t="str">
        <f t="shared" si="25"/>
        <v/>
      </c>
      <c r="J49" s="87" t="str">
        <f t="shared" si="25"/>
        <v/>
      </c>
      <c r="K49" s="87" t="str">
        <f t="shared" si="25"/>
        <v/>
      </c>
      <c r="L49" s="87" t="str">
        <f t="shared" si="25"/>
        <v/>
      </c>
      <c r="N49" s="44"/>
    </row>
    <row r="50" ht="15.75" customHeight="1">
      <c r="A50" s="68" t="str">
        <f t="shared" si="19"/>
        <v>    Mexico Share</v>
      </c>
      <c r="B50" s="11"/>
      <c r="C50" s="87">
        <f t="shared" ref="C50:G50" si="26">IF(OR(C$28="",$A50=""),"",C$45*C40/C$33)</f>
        <v>0.00121480607</v>
      </c>
      <c r="D50" s="87">
        <f t="shared" si="26"/>
        <v>0.001347861919</v>
      </c>
      <c r="E50" s="87" t="str">
        <f t="shared" si="26"/>
        <v/>
      </c>
      <c r="F50" s="87" t="str">
        <f t="shared" si="26"/>
        <v/>
      </c>
      <c r="G50" s="87" t="str">
        <f t="shared" si="26"/>
        <v/>
      </c>
      <c r="H50" s="87" t="str">
        <f t="shared" ref="H50:L50" si="27">IF(OR(H$28="",$A50=""),"",H$45*H40/H$35)</f>
        <v/>
      </c>
      <c r="I50" s="87" t="str">
        <f t="shared" si="27"/>
        <v/>
      </c>
      <c r="J50" s="87" t="str">
        <f t="shared" si="27"/>
        <v/>
      </c>
      <c r="K50" s="87" t="str">
        <f t="shared" si="27"/>
        <v/>
      </c>
      <c r="L50" s="87" t="str">
        <f t="shared" si="27"/>
        <v/>
      </c>
      <c r="N50" s="44"/>
    </row>
    <row r="51" ht="15.75" customHeight="1">
      <c r="A51" s="68" t="str">
        <f t="shared" si="19"/>
        <v>    Tribal Nations of the Lower Basin Share</v>
      </c>
      <c r="B51" s="11"/>
      <c r="C51" s="87">
        <f t="shared" ref="C51:G51" si="28">IF(OR(C$28="",$A51=""),"",C$45*C41/C$33)</f>
        <v>0</v>
      </c>
      <c r="D51" s="87">
        <f t="shared" si="28"/>
        <v>-0.002419089671</v>
      </c>
      <c r="E51" s="87" t="str">
        <f t="shared" si="28"/>
        <v/>
      </c>
      <c r="F51" s="87" t="str">
        <f t="shared" si="28"/>
        <v/>
      </c>
      <c r="G51" s="87" t="str">
        <f t="shared" si="28"/>
        <v/>
      </c>
      <c r="H51" s="87" t="str">
        <f t="shared" ref="H51:L51" si="29">IF(OR(H$28="",$A51=""),"",H$45*H41/H$35)</f>
        <v/>
      </c>
      <c r="I51" s="87" t="str">
        <f t="shared" si="29"/>
        <v/>
      </c>
      <c r="J51" s="87" t="str">
        <f t="shared" si="29"/>
        <v/>
      </c>
      <c r="K51" s="87" t="str">
        <f t="shared" si="29"/>
        <v/>
      </c>
      <c r="L51" s="87" t="str">
        <f t="shared" si="29"/>
        <v/>
      </c>
      <c r="N51" s="44"/>
    </row>
    <row r="52" ht="15.75" customHeight="1">
      <c r="A52" s="84" t="s">
        <v>260</v>
      </c>
      <c r="B52" s="210"/>
      <c r="C52" s="211">
        <f t="shared" ref="C52:G52" si="30">IF(C28="","",SUM(C28))</f>
        <v>3.8</v>
      </c>
      <c r="D52" s="211">
        <f t="shared" si="30"/>
        <v>6.3</v>
      </c>
      <c r="E52" s="211" t="str">
        <f t="shared" si="30"/>
        <v/>
      </c>
      <c r="F52" s="211" t="str">
        <f t="shared" si="30"/>
        <v/>
      </c>
      <c r="G52" s="211" t="str">
        <f t="shared" si="30"/>
        <v/>
      </c>
      <c r="H52" s="213" t="str">
        <f>IF(H$28&lt;&gt;"",1.5-0.21/9/2-VLOOKUP(H44,MandatoryConservation!$C$5:$P$13,13)-H60*(1.5/8.7),"")</f>
        <v/>
      </c>
      <c r="I52" s="213" t="str">
        <f>IF(I$28&lt;&gt;"",1.5-0.21/9/2-VLOOKUP(I44,MandatoryConservation!$C$5:$P$13,13)-I60*(1.5/8.7),"")</f>
        <v/>
      </c>
      <c r="J52" s="213" t="str">
        <f>IF(J$28&lt;&gt;"",1.5-0.21/9/2-VLOOKUP(J44,MandatoryConservation!$C$5:$P$13,13)-J60*(1.5/8.7),"")</f>
        <v/>
      </c>
      <c r="K52" s="213" t="str">
        <f>IF(K$28&lt;&gt;"",1.5-0.21/9/2-VLOOKUP(K44,MandatoryConservation!$C$5:$P$13,13)-K60*(1.5/8.7),"")</f>
        <v/>
      </c>
      <c r="L52" s="213" t="str">
        <f>IF(L$28&lt;&gt;"",1.5-0.21/9/2-VLOOKUP(L44,MandatoryConservation!$C$5:$P$13,13)-L60*(1.5/8.7),"")</f>
        <v/>
      </c>
      <c r="M52" s="91"/>
      <c r="N52" s="38" t="s">
        <v>262</v>
      </c>
    </row>
    <row r="53" ht="15.75" customHeight="1">
      <c r="A53" s="68" t="str">
        <f>IF(A5="","","    To "&amp;A5)</f>
        <v>    To Reclamation - Protect Zone</v>
      </c>
      <c r="B53" s="222" t="s">
        <v>263</v>
      </c>
      <c r="C53" s="223">
        <f t="shared" ref="C53:G53" si="31">IF(OR(C$28="",$A55=""),"",C46)</f>
        <v>0.3641214377</v>
      </c>
      <c r="D53" s="224">
        <f t="shared" si="31"/>
        <v>0.3722389254</v>
      </c>
      <c r="E53" s="224" t="str">
        <f t="shared" si="31"/>
        <v/>
      </c>
      <c r="F53" s="224" t="str">
        <f t="shared" si="31"/>
        <v/>
      </c>
      <c r="G53" s="224" t="str">
        <f t="shared" si="31"/>
        <v/>
      </c>
      <c r="H53" s="87" t="str">
        <f t="shared" ref="H53:L53" si="32">IF(H28="","",SUM(H28:H30))</f>
        <v/>
      </c>
      <c r="I53" s="87" t="str">
        <f t="shared" si="32"/>
        <v/>
      </c>
      <c r="J53" s="87" t="str">
        <f t="shared" si="32"/>
        <v/>
      </c>
      <c r="K53" s="87" t="str">
        <f t="shared" si="32"/>
        <v/>
      </c>
      <c r="L53" s="87" t="str">
        <f t="shared" si="32"/>
        <v/>
      </c>
      <c r="M53" s="150">
        <f>SUM(C55:C59)</f>
        <v>3.435878562</v>
      </c>
      <c r="N53" s="225"/>
    </row>
    <row r="54" ht="15.75" customHeight="1">
      <c r="A54" s="68" t="s">
        <v>264</v>
      </c>
      <c r="C54" s="226">
        <f t="shared" ref="C54:G54" si="33">IF(OR(C$28="",$A56=""),"",C52-C53)</f>
        <v>3.435878562</v>
      </c>
      <c r="D54" s="224">
        <f t="shared" si="33"/>
        <v>5.927761075</v>
      </c>
      <c r="E54" s="224" t="str">
        <f t="shared" si="33"/>
        <v/>
      </c>
      <c r="F54" s="224" t="str">
        <f t="shared" si="33"/>
        <v/>
      </c>
      <c r="G54" s="224" t="str">
        <f t="shared" si="33"/>
        <v/>
      </c>
      <c r="H54" s="156" t="str">
        <f t="shared" ref="H54:L54" si="34">IF(OR(H$28="",$A55=""),"",MAX(0,H53-SUM(H55:H60)))</f>
        <v/>
      </c>
      <c r="I54" s="156" t="str">
        <f t="shared" si="34"/>
        <v/>
      </c>
      <c r="J54" s="156" t="str">
        <f t="shared" si="34"/>
        <v/>
      </c>
      <c r="K54" s="156" t="str">
        <f t="shared" si="34"/>
        <v/>
      </c>
      <c r="L54" s="156" t="str">
        <f t="shared" si="34"/>
        <v/>
      </c>
      <c r="M54" s="227">
        <f>SUM(M55:M59)</f>
        <v>1</v>
      </c>
      <c r="N54" s="228"/>
      <c r="P54" s="229"/>
    </row>
    <row r="55" ht="15.75" customHeight="1">
      <c r="A55" s="68" t="str">
        <f t="shared" ref="A55:A59" si="36">IF(A6="","","       To "&amp;A6)</f>
        <v>       To California</v>
      </c>
      <c r="B55" s="230">
        <f>DivideInflow!T12</f>
        <v>0.4959353333</v>
      </c>
      <c r="C55" s="231">
        <f t="shared" ref="C55:G55" si="35">IF(OR(C$28="",$A55=""),"",($B55*C$54))</f>
        <v>1.70397358</v>
      </c>
      <c r="D55" s="231">
        <f t="shared" si="35"/>
        <v>2.939786164</v>
      </c>
      <c r="E55" s="231" t="str">
        <f t="shared" si="35"/>
        <v/>
      </c>
      <c r="F55" s="231" t="str">
        <f t="shared" si="35"/>
        <v/>
      </c>
      <c r="G55" s="231" t="str">
        <f t="shared" si="35"/>
        <v/>
      </c>
      <c r="H55" s="156"/>
      <c r="I55" s="156"/>
      <c r="J55" s="156"/>
      <c r="K55" s="156"/>
      <c r="L55" s="156"/>
      <c r="M55" s="232">
        <f t="shared" ref="M55:M58" si="39">C55/C$54</f>
        <v>0.4959353333</v>
      </c>
      <c r="N55" s="228"/>
      <c r="P55" s="229"/>
    </row>
    <row r="56" ht="15.75" customHeight="1">
      <c r="A56" s="68" t="str">
        <f t="shared" si="36"/>
        <v>       To Arizona</v>
      </c>
      <c r="B56" s="230">
        <f>DivideInflow!R12</f>
        <v>0.1996584444</v>
      </c>
      <c r="C56" s="231">
        <f t="shared" ref="C56:G56" si="37">IF(OR(C$28="",$A56=""),"",($B56*C$54))</f>
        <v>0.6860021691</v>
      </c>
      <c r="D56" s="231">
        <f t="shared" si="37"/>
        <v>1.183527555</v>
      </c>
      <c r="E56" s="231" t="str">
        <f t="shared" si="37"/>
        <v/>
      </c>
      <c r="F56" s="231" t="str">
        <f t="shared" si="37"/>
        <v/>
      </c>
      <c r="G56" s="231" t="str">
        <f t="shared" si="37"/>
        <v/>
      </c>
      <c r="H56" s="224" t="str">
        <f t="shared" ref="H56:L56" si="38">IF(OR(H$28="",$A56=""),"",MIN(H52,H$53-SUM(H57:H60)))</f>
        <v/>
      </c>
      <c r="I56" s="224" t="str">
        <f t="shared" si="38"/>
        <v/>
      </c>
      <c r="J56" s="224" t="str">
        <f t="shared" si="38"/>
        <v/>
      </c>
      <c r="K56" s="224" t="str">
        <f t="shared" si="38"/>
        <v/>
      </c>
      <c r="L56" s="224" t="str">
        <f t="shared" si="38"/>
        <v/>
      </c>
      <c r="M56" s="232">
        <f t="shared" si="39"/>
        <v>0.1996584444</v>
      </c>
      <c r="N56" s="228"/>
    </row>
    <row r="57" ht="15.75" customHeight="1">
      <c r="A57" s="68" t="str">
        <f t="shared" si="36"/>
        <v>       To Nevada</v>
      </c>
      <c r="B57" s="230">
        <f>DivideInflow!S8</f>
        <v>0.03194066667</v>
      </c>
      <c r="C57" s="231">
        <f t="shared" ref="C57:G57" si="40">IF(OR(C$28="",$A57=""),"",($B57*C$54))</f>
        <v>0.1097442519</v>
      </c>
      <c r="D57" s="231">
        <f t="shared" si="40"/>
        <v>0.1893366406</v>
      </c>
      <c r="E57" s="231" t="str">
        <f t="shared" si="40"/>
        <v/>
      </c>
      <c r="F57" s="231" t="str">
        <f t="shared" si="40"/>
        <v/>
      </c>
      <c r="G57" s="231" t="str">
        <f t="shared" si="40"/>
        <v/>
      </c>
      <c r="H57" s="233" t="str">
        <f t="shared" ref="H57:L57" si="41">IF(OR(H$28="",$A57=""),"",MIN($B57,H$53-SUM(H58:H60)))</f>
        <v/>
      </c>
      <c r="I57" s="233" t="str">
        <f t="shared" si="41"/>
        <v/>
      </c>
      <c r="J57" s="233" t="str">
        <f t="shared" si="41"/>
        <v/>
      </c>
      <c r="K57" s="233" t="str">
        <f t="shared" si="41"/>
        <v/>
      </c>
      <c r="L57" s="233" t="str">
        <f t="shared" si="41"/>
        <v/>
      </c>
      <c r="M57" s="232">
        <f t="shared" si="39"/>
        <v>0.03194066667</v>
      </c>
      <c r="N57" s="228"/>
    </row>
    <row r="58" ht="15.75" customHeight="1">
      <c r="A58" s="68" t="str">
        <f t="shared" si="36"/>
        <v>       To Mexico</v>
      </c>
      <c r="B58" s="230">
        <f>DivideInflow!U8</f>
        <v>0.1666666667</v>
      </c>
      <c r="C58" s="231">
        <f t="shared" ref="C58:G58" si="42">IF(OR(C$28="",$A58=""),"",($B58*C$54))</f>
        <v>0.5726464271</v>
      </c>
      <c r="D58" s="231">
        <f t="shared" si="42"/>
        <v>0.9879601791</v>
      </c>
      <c r="E58" s="231" t="str">
        <f t="shared" si="42"/>
        <v/>
      </c>
      <c r="F58" s="231" t="str">
        <f t="shared" si="42"/>
        <v/>
      </c>
      <c r="G58" s="231" t="str">
        <f t="shared" si="42"/>
        <v/>
      </c>
      <c r="H58" s="156" t="str">
        <f t="shared" ref="H58:L58" si="43">IF(OR(H$28="",$A58=""),"",MIN($B58,H$53-SUM(H59:H60)))</f>
        <v/>
      </c>
      <c r="I58" s="156" t="str">
        <f t="shared" si="43"/>
        <v/>
      </c>
      <c r="J58" s="156" t="str">
        <f t="shared" si="43"/>
        <v/>
      </c>
      <c r="K58" s="156" t="str">
        <f t="shared" si="43"/>
        <v/>
      </c>
      <c r="L58" s="156" t="str">
        <f t="shared" si="43"/>
        <v/>
      </c>
      <c r="M58" s="232">
        <f t="shared" si="39"/>
        <v>0.1666666667</v>
      </c>
      <c r="N58" s="228"/>
    </row>
    <row r="59" ht="15.75" customHeight="1">
      <c r="A59" s="68" t="str">
        <f t="shared" si="36"/>
        <v>       To Tribal Nations of the Lower Basin</v>
      </c>
      <c r="B59" s="230">
        <f>IF(A59="","",DivideInflow!V8)</f>
        <v>0.1057988889</v>
      </c>
      <c r="C59" s="231">
        <f t="shared" ref="C59:G59" si="44">IF(OR(C$28="",$A59=""),"",($B59*C$54))</f>
        <v>0.3635121343</v>
      </c>
      <c r="D59" s="231">
        <f t="shared" si="44"/>
        <v>0.6271505353</v>
      </c>
      <c r="E59" s="231" t="str">
        <f t="shared" si="44"/>
        <v/>
      </c>
      <c r="F59" s="231" t="str">
        <f t="shared" si="44"/>
        <v/>
      </c>
      <c r="G59" s="231" t="str">
        <f t="shared" si="44"/>
        <v/>
      </c>
      <c r="H59" s="234" t="str">
        <f t="shared" ref="H59:L59" si="45">IF(OR(H$28="",$A59=""),"",IF(H$53&gt;H51,H51,H53))</f>
        <v/>
      </c>
      <c r="I59" s="234" t="str">
        <f t="shared" si="45"/>
        <v/>
      </c>
      <c r="J59" s="234" t="str">
        <f t="shared" si="45"/>
        <v/>
      </c>
      <c r="K59" s="234" t="str">
        <f t="shared" si="45"/>
        <v/>
      </c>
      <c r="L59" s="234" t="str">
        <f t="shared" si="45"/>
        <v/>
      </c>
      <c r="M59" s="232">
        <f>IF(A59="","",C59/C$54)</f>
        <v>0.1057988889</v>
      </c>
      <c r="N59" s="228"/>
    </row>
    <row r="60" ht="15.75" hidden="1" customHeight="1">
      <c r="A60" s="68" t="str">
        <f>IF(A31="","","    To "&amp;A31)</f>
        <v>    To Havasu / Parker evaporation and ET</v>
      </c>
      <c r="B60" s="235" t="s">
        <v>265</v>
      </c>
      <c r="C60" s="236">
        <f t="shared" ref="C60:G60" si="46">IF(OR(C$28="",$A60=""),"",MIN(C31,C52-C59))</f>
        <v>0.6</v>
      </c>
      <c r="D60" s="236">
        <f t="shared" si="46"/>
        <v>0.6</v>
      </c>
      <c r="E60" s="236" t="str">
        <f t="shared" si="46"/>
        <v/>
      </c>
      <c r="F60" s="236" t="str">
        <f t="shared" si="46"/>
        <v/>
      </c>
      <c r="G60" s="236" t="str">
        <f t="shared" si="46"/>
        <v/>
      </c>
      <c r="H60" s="236" t="str">
        <f t="shared" ref="H60:L60" si="47">IF(OR(H$28="",$A60=""),"",MIN(H31,H53-H59))</f>
        <v/>
      </c>
      <c r="I60" s="236" t="str">
        <f t="shared" si="47"/>
        <v/>
      </c>
      <c r="J60" s="236" t="str">
        <f t="shared" si="47"/>
        <v/>
      </c>
      <c r="K60" s="236" t="str">
        <f t="shared" si="47"/>
        <v/>
      </c>
      <c r="L60" s="236" t="str">
        <f t="shared" si="47"/>
        <v/>
      </c>
      <c r="M60" s="232" t="str">
        <f>F60/F$54</f>
        <v>#DIV/0!</v>
      </c>
      <c r="N60" s="228"/>
    </row>
    <row r="61" ht="15.75" customHeight="1">
      <c r="B61" s="150"/>
      <c r="C61" s="227"/>
      <c r="D61" s="227"/>
      <c r="E61" s="227"/>
      <c r="F61" s="91"/>
      <c r="G61" s="92"/>
      <c r="N61" s="44"/>
    </row>
    <row r="62" ht="15.75" customHeight="1">
      <c r="A62" s="237" t="s">
        <v>266</v>
      </c>
      <c r="B62" s="238"/>
      <c r="C62" s="238"/>
      <c r="D62" s="238"/>
      <c r="E62" s="238"/>
      <c r="F62" s="238"/>
      <c r="G62" s="238"/>
      <c r="H62" s="238"/>
      <c r="I62" s="238"/>
      <c r="J62" s="238"/>
      <c r="K62" s="238"/>
      <c r="L62" s="238"/>
      <c r="M62" s="238"/>
      <c r="N62" s="112" t="str">
        <f>N3</f>
        <v>HELP, CONTEXT, and SUGGESTIONS</v>
      </c>
    </row>
    <row r="63" ht="15.75" customHeight="1">
      <c r="A63" s="239" t="str">
        <f>IF(A$5="[Unused]","",A5&amp;" ("&amp;B5&amp;")")</f>
        <v>Reclamation - Protect Zone (Sam)</v>
      </c>
      <c r="B63" s="240"/>
      <c r="C63" s="240"/>
      <c r="D63" s="240"/>
      <c r="E63" s="240"/>
      <c r="F63" s="240"/>
      <c r="G63" s="240"/>
      <c r="H63" s="240"/>
      <c r="I63" s="240"/>
      <c r="J63" s="240"/>
      <c r="K63" s="240"/>
      <c r="L63" s="240"/>
      <c r="M63" s="241" t="s">
        <v>116</v>
      </c>
      <c r="N63" s="38" t="s">
        <v>267</v>
      </c>
    </row>
    <row r="64" ht="15.75" customHeight="1">
      <c r="A64" s="183" t="s">
        <v>268</v>
      </c>
      <c r="C64" s="87">
        <f>IF(C$28&lt;&gt;"",B20,"")</f>
        <v>1020</v>
      </c>
      <c r="D64" s="242">
        <f>C71</f>
        <v>1019</v>
      </c>
      <c r="E64" s="243">
        <v>1019.3</v>
      </c>
      <c r="F64" s="87" t="str">
        <f t="shared" ref="F64:G64" si="48">IF(F$28&lt;&gt;"",E72,"")</f>
        <v/>
      </c>
      <c r="G64" s="87" t="str">
        <f t="shared" si="48"/>
        <v/>
      </c>
      <c r="H64" s="87"/>
      <c r="I64" s="87"/>
      <c r="J64" s="87"/>
      <c r="K64" s="87"/>
      <c r="L64" s="87"/>
      <c r="N64" s="244"/>
    </row>
    <row r="65" ht="15.75" customHeight="1">
      <c r="A65" s="68" t="s">
        <v>269</v>
      </c>
      <c r="C65" s="87">
        <f t="shared" ref="C65:G65" si="49">IF(OR(C$28="",$A70=""),"",C36+C53-C46)</f>
        <v>5.664593</v>
      </c>
      <c r="D65" s="87">
        <f t="shared" si="49"/>
        <v>5.614593</v>
      </c>
      <c r="E65" s="87" t="str">
        <f t="shared" si="49"/>
        <v/>
      </c>
      <c r="F65" s="87" t="str">
        <f t="shared" si="49"/>
        <v/>
      </c>
      <c r="G65" s="87" t="str">
        <f t="shared" si="49"/>
        <v/>
      </c>
      <c r="H65" s="87" t="str">
        <f t="shared" ref="H65:L65" si="50">IF(OR(H$28="",$A65=""),"",H22+H40-H32+H60)</f>
        <v/>
      </c>
      <c r="I65" s="87" t="str">
        <f t="shared" si="50"/>
        <v/>
      </c>
      <c r="J65" s="87" t="str">
        <f t="shared" si="50"/>
        <v/>
      </c>
      <c r="K65" s="87" t="str">
        <f t="shared" si="50"/>
        <v/>
      </c>
      <c r="L65" s="87" t="str">
        <f t="shared" si="50"/>
        <v/>
      </c>
      <c r="N65" s="244"/>
    </row>
    <row r="66" ht="15.75" customHeight="1">
      <c r="A66" s="245" t="str">
        <f>IF(A63="[Unused]","","   Enter volume to Buy(+) or Sell(-) [maf]")</f>
        <v>   Enter volume to Buy(+) or Sell(-) [maf]</v>
      </c>
      <c r="C66" s="246">
        <v>-0.05</v>
      </c>
      <c r="D66" s="246">
        <f>0.015</f>
        <v>0.015</v>
      </c>
      <c r="E66" s="247"/>
      <c r="F66" s="247"/>
      <c r="G66" s="247"/>
      <c r="H66" s="247"/>
      <c r="I66" s="247"/>
      <c r="J66" s="247"/>
      <c r="K66" s="247"/>
      <c r="L66" s="247"/>
      <c r="M66" s="248">
        <f>SUM(C66:G66)</f>
        <v>-0.035</v>
      </c>
      <c r="N66" s="225" t="s">
        <v>270</v>
      </c>
    </row>
    <row r="67" ht="15.75" customHeight="1">
      <c r="A67" s="245" t="str">
        <f>IF(A66="","","   Enter price per acre-foot to Buy(-) or Sell(+)")</f>
        <v>   Enter price per acre-foot to Buy(-) or Sell(+)</v>
      </c>
      <c r="C67" s="249">
        <v>175.0</v>
      </c>
      <c r="D67" s="249">
        <v>-175.0</v>
      </c>
      <c r="E67" s="250"/>
      <c r="F67" s="250"/>
      <c r="G67" s="250"/>
      <c r="H67" s="250"/>
      <c r="I67" s="250"/>
      <c r="J67" s="250"/>
      <c r="K67" s="250"/>
      <c r="L67" s="251"/>
      <c r="M67" s="252"/>
      <c r="N67" s="253" t="s">
        <v>271</v>
      </c>
    </row>
    <row r="68" ht="15.75" customHeight="1">
      <c r="A68" s="68" t="s">
        <v>272</v>
      </c>
      <c r="C68" s="254">
        <f t="shared" ref="C68:G68" si="51">IF(OR(C66="",C67=""),"",IF(C67&gt;0,ABS(C66*C67),C66*C67)
)</f>
        <v>8.75</v>
      </c>
      <c r="D68" s="254">
        <f t="shared" si="51"/>
        <v>-2.625</v>
      </c>
      <c r="E68" s="254" t="str">
        <f t="shared" si="51"/>
        <v/>
      </c>
      <c r="F68" s="254" t="str">
        <f t="shared" si="51"/>
        <v/>
      </c>
      <c r="G68" s="254" t="str">
        <f t="shared" si="51"/>
        <v/>
      </c>
      <c r="H68" s="254"/>
      <c r="I68" s="254"/>
      <c r="J68" s="254"/>
      <c r="K68" s="254"/>
      <c r="L68" s="254"/>
      <c r="M68" s="255">
        <f>SUM(C68:G68)</f>
        <v>6.125</v>
      </c>
      <c r="N68" s="256" t="s">
        <v>273</v>
      </c>
    </row>
    <row r="69" ht="15.75" customHeight="1">
      <c r="A69" s="68" t="str">
        <f>IF(A67="","","   Net trade volume all participants (should be zero)")</f>
        <v>   Net trade volume all participants (should be zero)</v>
      </c>
      <c r="C69" s="87">
        <f t="shared" ref="C69:M69" si="52">IF(OR(C$28="",$A69=""),"",C$133)</f>
        <v>0</v>
      </c>
      <c r="D69" s="257">
        <f t="shared" si="52"/>
        <v>0</v>
      </c>
      <c r="E69" s="87" t="str">
        <f t="shared" si="52"/>
        <v/>
      </c>
      <c r="F69" s="87" t="str">
        <f t="shared" si="52"/>
        <v/>
      </c>
      <c r="G69" s="87" t="str">
        <f t="shared" si="52"/>
        <v/>
      </c>
      <c r="H69" s="87" t="str">
        <f t="shared" si="52"/>
        <v/>
      </c>
      <c r="I69" s="87" t="str">
        <f t="shared" si="52"/>
        <v/>
      </c>
      <c r="J69" s="87" t="str">
        <f t="shared" si="52"/>
        <v/>
      </c>
      <c r="K69" s="87" t="str">
        <f t="shared" si="52"/>
        <v/>
      </c>
      <c r="L69" s="87" t="str">
        <f t="shared" si="52"/>
        <v/>
      </c>
      <c r="M69" s="68" t="str">
        <f t="shared" si="52"/>
        <v/>
      </c>
      <c r="N69" s="38" t="s">
        <v>274</v>
      </c>
    </row>
    <row r="70" ht="15.75" customHeight="1">
      <c r="A70" s="11" t="str">
        <f>IF(A67="","","   Available Water [maf]")</f>
        <v>   Available Water [maf]</v>
      </c>
      <c r="C70" s="87">
        <f t="shared" ref="C70:G70" si="53">IF(OR(C$28="",$A70=""),"",C36+C53-C46+C66)</f>
        <v>5.614593</v>
      </c>
      <c r="D70" s="87">
        <f t="shared" si="53"/>
        <v>5.629593</v>
      </c>
      <c r="E70" s="87" t="str">
        <f t="shared" si="53"/>
        <v/>
      </c>
      <c r="F70" s="87" t="str">
        <f t="shared" si="53"/>
        <v/>
      </c>
      <c r="G70" s="87" t="str">
        <f t="shared" si="53"/>
        <v/>
      </c>
      <c r="H70" s="87" t="str">
        <f t="shared" ref="H70:L70" si="54">IF(OR(H$28="",$A70=""),"",H36+H54-H46+H66)</f>
        <v/>
      </c>
      <c r="I70" s="87" t="str">
        <f t="shared" si="54"/>
        <v/>
      </c>
      <c r="J70" s="87" t="str">
        <f t="shared" si="54"/>
        <v/>
      </c>
      <c r="K70" s="87" t="str">
        <f t="shared" si="54"/>
        <v/>
      </c>
      <c r="L70" s="87" t="str">
        <f t="shared" si="54"/>
        <v/>
      </c>
      <c r="N70" s="38" t="s">
        <v>276</v>
      </c>
    </row>
    <row r="71" ht="15.75" customHeight="1">
      <c r="A71" s="11" t="s">
        <v>279</v>
      </c>
      <c r="C71" s="87">
        <f>IF(C$28&lt;&gt;"",VLOOKUP(C70*1000000,'Mead-Elevation-Area'!$B$5:$H$689,7),"")</f>
        <v>1019</v>
      </c>
      <c r="D71" s="87">
        <f>IF(D$28&lt;&gt;"",VLOOKUP(D70*1000000,'Mead-Elevation-Area'!$B$5:$H$689,7),"")</f>
        <v>1019</v>
      </c>
      <c r="E71" s="87" t="str">
        <f>IF(E$28&lt;&gt;"",VLOOKUP(E70*1000000,'Mead-Elevation-Area'!$B$5:$H$689,7),"")</f>
        <v/>
      </c>
      <c r="F71" s="87" t="str">
        <f>IF(F$28&lt;&gt;"",VLOOKUP(F70*1000000,'Mead-Elevation-Area'!$B$5:$H$689,7),"")</f>
        <v/>
      </c>
      <c r="G71" s="87" t="str">
        <f>IF(G$28&lt;&gt;"",VLOOKUP(G70*1000000,'Mead-Elevation-Area'!$B$5:$H$689,7),"")</f>
        <v/>
      </c>
      <c r="H71" s="87"/>
      <c r="I71" s="87"/>
      <c r="J71" s="87"/>
      <c r="K71" s="87"/>
      <c r="L71" s="87"/>
      <c r="N71" s="38"/>
    </row>
    <row r="72" ht="15.75" customHeight="1">
      <c r="A72" s="84" t="str">
        <f>IF(A70="","","   Enter withdraw [maf] within available water")</f>
        <v>   Enter withdraw [maf] within available water</v>
      </c>
      <c r="C72" s="266">
        <v>0.0</v>
      </c>
      <c r="D72" s="266">
        <v>0.0</v>
      </c>
      <c r="E72" s="268"/>
      <c r="F72" s="268"/>
      <c r="G72" s="268"/>
      <c r="H72" s="268"/>
      <c r="I72" s="268"/>
      <c r="J72" s="268"/>
      <c r="K72" s="268"/>
      <c r="L72" s="268"/>
      <c r="N72" s="38" t="s">
        <v>288</v>
      </c>
    </row>
    <row r="73" ht="15.75" customHeight="1">
      <c r="A73" s="68" t="str">
        <f>IF(A72="","","   End of Year Balance [maf]")</f>
        <v>   End of Year Balance [maf]</v>
      </c>
      <c r="C73" s="87">
        <f t="shared" ref="C73:L73" si="55">IF(OR(C$28="",$A73=""),"",C70-C72)</f>
        <v>5.614593</v>
      </c>
      <c r="D73" s="87">
        <f t="shared" si="55"/>
        <v>5.629593</v>
      </c>
      <c r="E73" s="87" t="str">
        <f t="shared" si="55"/>
        <v/>
      </c>
      <c r="F73" s="87" t="str">
        <f t="shared" si="55"/>
        <v/>
      </c>
      <c r="G73" s="87" t="str">
        <f t="shared" si="55"/>
        <v/>
      </c>
      <c r="H73" s="87" t="str">
        <f t="shared" si="55"/>
        <v/>
      </c>
      <c r="I73" s="87" t="str">
        <f t="shared" si="55"/>
        <v/>
      </c>
      <c r="J73" s="87" t="str">
        <f t="shared" si="55"/>
        <v/>
      </c>
      <c r="K73" s="87" t="str">
        <f t="shared" si="55"/>
        <v/>
      </c>
      <c r="L73" s="87" t="str">
        <f t="shared" si="55"/>
        <v/>
      </c>
      <c r="N73" s="38" t="s">
        <v>297</v>
      </c>
    </row>
    <row r="74" ht="15.75" customHeight="1">
      <c r="N74" s="44"/>
    </row>
    <row r="75" ht="15.75" customHeight="1">
      <c r="A75" s="239" t="str">
        <f>IF(A$6="","[Unused]",A6&amp;" ("&amp;B6&amp;")")</f>
        <v>California (Maddie)</v>
      </c>
      <c r="B75" s="240"/>
      <c r="C75" s="240"/>
      <c r="D75" s="240"/>
      <c r="E75" s="240"/>
      <c r="F75" s="240"/>
      <c r="G75" s="240"/>
      <c r="H75" s="240"/>
      <c r="I75" s="240"/>
      <c r="J75" s="240"/>
      <c r="K75" s="240"/>
      <c r="L75" s="240"/>
      <c r="M75" s="241" t="s">
        <v>116</v>
      </c>
      <c r="N75" s="244" t="s">
        <v>267</v>
      </c>
    </row>
    <row r="76" ht="15.75" customHeight="1">
      <c r="A76" s="68" t="s">
        <v>269</v>
      </c>
      <c r="C76" s="87">
        <f t="shared" ref="C76:G76" si="56">IF(OR(C$28="",$A81=""),"",C37+C55-C47)</f>
        <v>1.843264811</v>
      </c>
      <c r="D76" s="87">
        <f t="shared" si="56"/>
        <v>2.966177062</v>
      </c>
      <c r="E76" s="87" t="str">
        <f t="shared" si="56"/>
        <v/>
      </c>
      <c r="F76" s="87" t="str">
        <f t="shared" si="56"/>
        <v/>
      </c>
      <c r="G76" s="87" t="str">
        <f t="shared" si="56"/>
        <v/>
      </c>
      <c r="H76" s="87" t="str">
        <f t="shared" ref="H76:L76" si="57">IF(OR(H$28="",$A76=""),"",H32+H50-H42+H72)</f>
        <v/>
      </c>
      <c r="I76" s="87" t="str">
        <f t="shared" si="57"/>
        <v/>
      </c>
      <c r="J76" s="87" t="str">
        <f t="shared" si="57"/>
        <v/>
      </c>
      <c r="K76" s="87" t="str">
        <f t="shared" si="57"/>
        <v/>
      </c>
      <c r="L76" s="87" t="str">
        <f t="shared" si="57"/>
        <v/>
      </c>
      <c r="N76" s="244"/>
    </row>
    <row r="77" ht="15.75" customHeight="1">
      <c r="A77" s="245" t="str">
        <f>IF(A75="[Unused]","",$A$66)</f>
        <v>   Enter volume to Buy(+) or Sell(-) [maf]</v>
      </c>
      <c r="C77" s="246">
        <f>0.035</f>
        <v>0.035</v>
      </c>
      <c r="D77" s="246">
        <v>0.1</v>
      </c>
      <c r="E77" s="247"/>
      <c r="F77" s="247"/>
      <c r="G77" s="247"/>
      <c r="H77" s="247"/>
      <c r="I77" s="247"/>
      <c r="J77" s="247"/>
      <c r="K77" s="247"/>
      <c r="L77" s="247"/>
      <c r="M77" s="275">
        <f>SUM(C77:L77)</f>
        <v>0.135</v>
      </c>
      <c r="N77" s="225" t="s">
        <v>270</v>
      </c>
    </row>
    <row r="78" ht="15.75" customHeight="1">
      <c r="A78" s="245" t="str">
        <f>IF(A77="","","   Enter price per acre-foot to Buy(-) or Sell(+)")</f>
        <v>   Enter price per acre-foot to Buy(-) or Sell(+)</v>
      </c>
      <c r="C78" s="249">
        <v>-175.0</v>
      </c>
      <c r="D78" s="249">
        <v>-175.0</v>
      </c>
      <c r="E78" s="250"/>
      <c r="F78" s="250"/>
      <c r="G78" s="250"/>
      <c r="H78" s="250"/>
      <c r="I78" s="250"/>
      <c r="J78" s="250"/>
      <c r="K78" s="250"/>
      <c r="L78" s="251"/>
      <c r="M78" s="252"/>
      <c r="N78" s="253" t="s">
        <v>271</v>
      </c>
    </row>
    <row r="79" ht="15.75" customHeight="1">
      <c r="A79" s="68" t="s">
        <v>272</v>
      </c>
      <c r="C79" s="254">
        <f t="shared" ref="C79:G79" si="58">IF(OR(C77="",C78=""),"",IF(C78&gt;0,ABS(C77*C78),C77*C78)
)</f>
        <v>-6.125</v>
      </c>
      <c r="D79" s="254">
        <f t="shared" si="58"/>
        <v>-17.5</v>
      </c>
      <c r="E79" s="254" t="str">
        <f t="shared" si="58"/>
        <v/>
      </c>
      <c r="F79" s="254" t="str">
        <f t="shared" si="58"/>
        <v/>
      </c>
      <c r="G79" s="254" t="str">
        <f t="shared" si="58"/>
        <v/>
      </c>
      <c r="H79" s="250"/>
      <c r="I79" s="250"/>
      <c r="J79" s="250"/>
      <c r="K79" s="250"/>
      <c r="L79" s="250"/>
      <c r="M79" s="276">
        <f>SUM(C79:L79)</f>
        <v>-23.625</v>
      </c>
      <c r="N79" s="256" t="s">
        <v>273</v>
      </c>
    </row>
    <row r="80" ht="15.75" customHeight="1">
      <c r="A80" s="183" t="str">
        <f>IF(A78="","",$A$69)</f>
        <v>   Net trade volume all participants (should be zero)</v>
      </c>
      <c r="C80" s="87">
        <f t="shared" ref="C80:M80" si="59">IF(OR(C$28="",$A80=""),"",C$133)</f>
        <v>0</v>
      </c>
      <c r="D80" s="87">
        <f t="shared" si="59"/>
        <v>0</v>
      </c>
      <c r="E80" s="87" t="str">
        <f t="shared" si="59"/>
        <v/>
      </c>
      <c r="F80" s="87" t="str">
        <f t="shared" si="59"/>
        <v/>
      </c>
      <c r="G80" s="87" t="str">
        <f t="shared" si="59"/>
        <v/>
      </c>
      <c r="H80" s="87" t="str">
        <f t="shared" si="59"/>
        <v/>
      </c>
      <c r="I80" s="87" t="str">
        <f t="shared" si="59"/>
        <v/>
      </c>
      <c r="J80" s="87" t="str">
        <f t="shared" si="59"/>
        <v/>
      </c>
      <c r="K80" s="87" t="str">
        <f t="shared" si="59"/>
        <v/>
      </c>
      <c r="L80" s="87" t="str">
        <f t="shared" si="59"/>
        <v/>
      </c>
      <c r="M80" s="68" t="str">
        <f t="shared" si="59"/>
        <v/>
      </c>
      <c r="N80" s="38" t="s">
        <v>274</v>
      </c>
    </row>
    <row r="81" ht="15.75" customHeight="1">
      <c r="A81" s="11" t="str">
        <f>IF(A78="","","   Available Water [maf]")</f>
        <v>   Available Water [maf]</v>
      </c>
      <c r="C81" s="78">
        <f t="shared" ref="C81:L81" si="60">IF(OR(C$28="",$A81=""),"",C37+C55-C47+C77)</f>
        <v>1.878264811</v>
      </c>
      <c r="D81" s="87">
        <f t="shared" si="60"/>
        <v>3.066177062</v>
      </c>
      <c r="E81" s="87" t="str">
        <f t="shared" si="60"/>
        <v/>
      </c>
      <c r="F81" s="87" t="str">
        <f t="shared" si="60"/>
        <v/>
      </c>
      <c r="G81" s="87" t="str">
        <f t="shared" si="60"/>
        <v/>
      </c>
      <c r="H81" s="87" t="str">
        <f t="shared" si="60"/>
        <v/>
      </c>
      <c r="I81" s="87" t="str">
        <f t="shared" si="60"/>
        <v/>
      </c>
      <c r="J81" s="87" t="str">
        <f t="shared" si="60"/>
        <v/>
      </c>
      <c r="K81" s="87" t="str">
        <f t="shared" si="60"/>
        <v/>
      </c>
      <c r="L81" s="87" t="str">
        <f t="shared" si="60"/>
        <v/>
      </c>
      <c r="N81" s="38" t="s">
        <v>276</v>
      </c>
    </row>
    <row r="82" ht="15.75" customHeight="1">
      <c r="A82" s="84" t="str">
        <f>IF(A81="","",$A$72)</f>
        <v>   Enter withdraw [maf] within available water</v>
      </c>
      <c r="C82" s="277">
        <v>1.85</v>
      </c>
      <c r="D82" s="266">
        <v>3.05</v>
      </c>
      <c r="E82" s="268"/>
      <c r="F82" s="268"/>
      <c r="G82" s="268"/>
      <c r="H82" s="268"/>
      <c r="I82" s="268"/>
      <c r="J82" s="268"/>
      <c r="K82" s="268"/>
      <c r="L82" s="268"/>
      <c r="N82" s="38" t="s">
        <v>288</v>
      </c>
    </row>
    <row r="83" ht="15.75" customHeight="1">
      <c r="A83" s="68" t="str">
        <f>IF(A82="","","   End of Year Balance [maf]")</f>
        <v>   End of Year Balance [maf]</v>
      </c>
      <c r="C83" s="78">
        <f t="shared" ref="C83:L83" si="61">IF(OR(C$28="",$A83=""),"",C81-C82)</f>
        <v>0.0282648114</v>
      </c>
      <c r="D83" s="87">
        <f t="shared" si="61"/>
        <v>0.01617706212</v>
      </c>
      <c r="E83" s="87" t="str">
        <f t="shared" si="61"/>
        <v/>
      </c>
      <c r="F83" s="87" t="str">
        <f t="shared" si="61"/>
        <v/>
      </c>
      <c r="G83" s="87" t="str">
        <f t="shared" si="61"/>
        <v/>
      </c>
      <c r="H83" s="87" t="str">
        <f t="shared" si="61"/>
        <v/>
      </c>
      <c r="I83" s="87" t="str">
        <f t="shared" si="61"/>
        <v/>
      </c>
      <c r="J83" s="87" t="str">
        <f t="shared" si="61"/>
        <v/>
      </c>
      <c r="K83" s="87" t="str">
        <f t="shared" si="61"/>
        <v/>
      </c>
      <c r="L83" s="87" t="str">
        <f t="shared" si="61"/>
        <v/>
      </c>
      <c r="N83" s="38" t="s">
        <v>297</v>
      </c>
    </row>
    <row r="84" ht="15.75" customHeight="1">
      <c r="N84" s="44"/>
    </row>
    <row r="85" ht="15.75" customHeight="1">
      <c r="A85" s="239" t="str">
        <f>IF(A$7="","[Unused]",A7&amp;" ("&amp;B7&amp;")")</f>
        <v>Arizona (Talha)</v>
      </c>
      <c r="B85" s="240"/>
      <c r="C85" s="240"/>
      <c r="D85" s="240"/>
      <c r="E85" s="240"/>
      <c r="F85" s="240"/>
      <c r="G85" s="240"/>
      <c r="H85" s="240"/>
      <c r="I85" s="240"/>
      <c r="J85" s="240"/>
      <c r="K85" s="240"/>
      <c r="L85" s="240"/>
      <c r="M85" s="241" t="s">
        <v>116</v>
      </c>
      <c r="N85" s="244" t="s">
        <v>267</v>
      </c>
    </row>
    <row r="86" ht="15.75" customHeight="1">
      <c r="A86" s="68" t="s">
        <v>269</v>
      </c>
      <c r="C86" s="78">
        <f t="shared" ref="C86:G86" si="62">IF(OR(C$28="",$A91=""),"",C38+C56-C48)</f>
        <v>0.7455906561</v>
      </c>
      <c r="D86" s="87">
        <f t="shared" si="62"/>
        <v>1.183527555</v>
      </c>
      <c r="E86" s="87" t="str">
        <f t="shared" si="62"/>
        <v/>
      </c>
      <c r="F86" s="87" t="str">
        <f t="shared" si="62"/>
        <v/>
      </c>
      <c r="G86" s="87" t="str">
        <f t="shared" si="62"/>
        <v/>
      </c>
      <c r="H86" s="87" t="str">
        <f t="shared" ref="H86:L86" si="63">IF(OR(H$28="",$A86=""),"",H33+H51-H43+H82)</f>
        <v/>
      </c>
      <c r="I86" s="87" t="str">
        <f t="shared" si="63"/>
        <v/>
      </c>
      <c r="J86" s="87" t="str">
        <f t="shared" si="63"/>
        <v/>
      </c>
      <c r="K86" s="87" t="str">
        <f t="shared" si="63"/>
        <v/>
      </c>
      <c r="L86" s="87" t="str">
        <f t="shared" si="63"/>
        <v/>
      </c>
      <c r="N86" s="244"/>
    </row>
    <row r="87" ht="15.75" customHeight="1">
      <c r="A87" s="245" t="str">
        <f>IF(A85="[Unused]","",$A$66)</f>
        <v>   Enter volume to Buy(+) or Sell(-) [maf]</v>
      </c>
      <c r="C87" s="246">
        <v>0.01</v>
      </c>
      <c r="D87" s="246">
        <v>-0.01</v>
      </c>
      <c r="E87" s="247"/>
      <c r="F87" s="247"/>
      <c r="G87" s="247"/>
      <c r="H87" s="247"/>
      <c r="I87" s="247"/>
      <c r="J87" s="247"/>
      <c r="K87" s="247"/>
      <c r="L87" s="247"/>
      <c r="M87" s="275">
        <f>SUM(C87:L87)</f>
        <v>0</v>
      </c>
      <c r="N87" s="225" t="s">
        <v>270</v>
      </c>
    </row>
    <row r="88" ht="15.75" customHeight="1">
      <c r="A88" s="245" t="str">
        <f>IF(A87="","","   Enter price per acre-foot to Buy(-) or Sell(+)")</f>
        <v>   Enter price per acre-foot to Buy(-) or Sell(+)</v>
      </c>
      <c r="C88" s="249">
        <v>-175.0</v>
      </c>
      <c r="D88" s="249">
        <v>175.0</v>
      </c>
      <c r="E88" s="250"/>
      <c r="F88" s="250"/>
      <c r="G88" s="250"/>
      <c r="H88" s="250"/>
      <c r="I88" s="250"/>
      <c r="J88" s="250"/>
      <c r="K88" s="250"/>
      <c r="L88" s="251"/>
      <c r="M88" s="252"/>
      <c r="N88" s="253" t="s">
        <v>271</v>
      </c>
    </row>
    <row r="89" ht="15.75" customHeight="1">
      <c r="A89" s="68" t="s">
        <v>272</v>
      </c>
      <c r="C89" s="254">
        <f t="shared" ref="C89:G89" si="64">IF(OR(C87="",C88=""),"",IF(C88&gt;0,ABS(C87*C88),C87*C88)
)</f>
        <v>-1.75</v>
      </c>
      <c r="D89" s="254">
        <f t="shared" si="64"/>
        <v>1.75</v>
      </c>
      <c r="E89" s="254" t="str">
        <f t="shared" si="64"/>
        <v/>
      </c>
      <c r="F89" s="254" t="str">
        <f t="shared" si="64"/>
        <v/>
      </c>
      <c r="G89" s="254" t="str">
        <f t="shared" si="64"/>
        <v/>
      </c>
      <c r="H89" s="250"/>
      <c r="I89" s="250"/>
      <c r="J89" s="250"/>
      <c r="K89" s="250"/>
      <c r="L89" s="250"/>
      <c r="M89" s="276">
        <f>SUM(C89:L89)</f>
        <v>0</v>
      </c>
      <c r="N89" s="256" t="s">
        <v>273</v>
      </c>
    </row>
    <row r="90" ht="15.75" customHeight="1">
      <c r="A90" s="183" t="str">
        <f>IF(A88="","",$A$69)</f>
        <v>   Net trade volume all participants (should be zero)</v>
      </c>
      <c r="C90" s="78">
        <f t="shared" ref="C90:M90" si="65">IF(OR(C$28="",$A90=""),"",C$133)</f>
        <v>0</v>
      </c>
      <c r="D90" s="257">
        <f t="shared" si="65"/>
        <v>0</v>
      </c>
      <c r="E90" s="87" t="str">
        <f t="shared" si="65"/>
        <v/>
      </c>
      <c r="F90" s="87" t="str">
        <f t="shared" si="65"/>
        <v/>
      </c>
      <c r="G90" s="87" t="str">
        <f t="shared" si="65"/>
        <v/>
      </c>
      <c r="H90" s="87" t="str">
        <f t="shared" si="65"/>
        <v/>
      </c>
      <c r="I90" s="87" t="str">
        <f t="shared" si="65"/>
        <v/>
      </c>
      <c r="J90" s="87" t="str">
        <f t="shared" si="65"/>
        <v/>
      </c>
      <c r="K90" s="87" t="str">
        <f t="shared" si="65"/>
        <v/>
      </c>
      <c r="L90" s="87" t="str">
        <f t="shared" si="65"/>
        <v/>
      </c>
      <c r="M90" s="68" t="str">
        <f t="shared" si="65"/>
        <v/>
      </c>
      <c r="N90" s="38" t="s">
        <v>274</v>
      </c>
    </row>
    <row r="91" ht="15.75" customHeight="1">
      <c r="A91" s="11" t="str">
        <f>IF(A88="","","   Available Water [maf]")</f>
        <v>   Available Water [maf]</v>
      </c>
      <c r="C91" s="78">
        <f t="shared" ref="C91:L91" si="66">IF(OR(C$28="",$A91=""),"",C38+C56-C48+C87)</f>
        <v>0.7555906561</v>
      </c>
      <c r="D91" s="87">
        <f t="shared" si="66"/>
        <v>1.173527555</v>
      </c>
      <c r="E91" s="87" t="str">
        <f t="shared" si="66"/>
        <v/>
      </c>
      <c r="F91" s="87" t="str">
        <f t="shared" si="66"/>
        <v/>
      </c>
      <c r="G91" s="87" t="str">
        <f t="shared" si="66"/>
        <v/>
      </c>
      <c r="H91" s="87" t="str">
        <f t="shared" si="66"/>
        <v/>
      </c>
      <c r="I91" s="87" t="str">
        <f t="shared" si="66"/>
        <v/>
      </c>
      <c r="J91" s="87" t="str">
        <f t="shared" si="66"/>
        <v/>
      </c>
      <c r="K91" s="87" t="str">
        <f t="shared" si="66"/>
        <v/>
      </c>
      <c r="L91" s="87" t="str">
        <f t="shared" si="66"/>
        <v/>
      </c>
      <c r="N91" s="38" t="s">
        <v>276</v>
      </c>
    </row>
    <row r="92" ht="15.75" customHeight="1">
      <c r="A92" s="84" t="str">
        <f>IF(A91="","",$A$72)</f>
        <v>   Enter withdraw [maf] within available water</v>
      </c>
      <c r="C92" s="295">
        <f>C91</f>
        <v>0.7555906561</v>
      </c>
      <c r="D92" s="266">
        <v>0.75</v>
      </c>
      <c r="E92" s="268"/>
      <c r="F92" s="268"/>
      <c r="G92" s="268"/>
      <c r="H92" s="268"/>
      <c r="I92" s="268"/>
      <c r="J92" s="268"/>
      <c r="K92" s="268"/>
      <c r="L92" s="268"/>
      <c r="N92" s="38" t="s">
        <v>288</v>
      </c>
    </row>
    <row r="93" ht="15.75" customHeight="1">
      <c r="A93" s="68" t="str">
        <f>IF(A92="","","   End of Year Balance [maf]")</f>
        <v>   End of Year Balance [maf]</v>
      </c>
      <c r="C93" s="78">
        <f t="shared" ref="C93:L93" si="67">IF(OR(C$28="",$A93=""),"",C91-C92)</f>
        <v>0</v>
      </c>
      <c r="D93" s="87">
        <f t="shared" si="67"/>
        <v>0.4235275552</v>
      </c>
      <c r="E93" s="87" t="str">
        <f t="shared" si="67"/>
        <v/>
      </c>
      <c r="F93" s="87" t="str">
        <f t="shared" si="67"/>
        <v/>
      </c>
      <c r="G93" s="87" t="str">
        <f t="shared" si="67"/>
        <v/>
      </c>
      <c r="H93" s="87" t="str">
        <f t="shared" si="67"/>
        <v/>
      </c>
      <c r="I93" s="87" t="str">
        <f t="shared" si="67"/>
        <v/>
      </c>
      <c r="J93" s="87" t="str">
        <f t="shared" si="67"/>
        <v/>
      </c>
      <c r="K93" s="87" t="str">
        <f t="shared" si="67"/>
        <v/>
      </c>
      <c r="L93" s="87" t="str">
        <f t="shared" si="67"/>
        <v/>
      </c>
      <c r="N93" s="38" t="s">
        <v>297</v>
      </c>
    </row>
    <row r="94" ht="15.75" customHeight="1">
      <c r="N94" s="44"/>
    </row>
    <row r="95" ht="15.75" customHeight="1">
      <c r="A95" s="239" t="str">
        <f>IF(A$8="","[Unused]",A8&amp;" ("&amp;B8&amp;")")</f>
        <v>Nevada (Sam)</v>
      </c>
      <c r="B95" s="240"/>
      <c r="C95" s="240"/>
      <c r="D95" s="240"/>
      <c r="E95" s="240"/>
      <c r="F95" s="240"/>
      <c r="G95" s="240"/>
      <c r="H95" s="240"/>
      <c r="I95" s="240"/>
      <c r="J95" s="240"/>
      <c r="K95" s="240"/>
      <c r="L95" s="240"/>
      <c r="M95" s="241" t="s">
        <v>116</v>
      </c>
      <c r="N95" s="244" t="s">
        <v>267</v>
      </c>
    </row>
    <row r="96" ht="15.75" customHeight="1">
      <c r="A96" s="68" t="s">
        <v>269</v>
      </c>
      <c r="C96" s="257">
        <f t="shared" ref="C96:G96" si="68">IF(OR(C$28="",$A101=""),"",C39+C57-C49)</f>
        <v>0.1898325194</v>
      </c>
      <c r="D96" s="257">
        <f t="shared" si="68"/>
        <v>0.1938487713</v>
      </c>
      <c r="E96" s="87" t="str">
        <f t="shared" si="68"/>
        <v/>
      </c>
      <c r="F96" s="87" t="str">
        <f t="shared" si="68"/>
        <v/>
      </c>
      <c r="G96" s="87" t="str">
        <f t="shared" si="68"/>
        <v/>
      </c>
      <c r="H96" s="257" t="str">
        <f t="shared" ref="H96:L96" si="69">IF(OR(H$28="",$A96=""),"",H34+H52-H44+H92)</f>
        <v/>
      </c>
      <c r="I96" s="257" t="str">
        <f t="shared" si="69"/>
        <v/>
      </c>
      <c r="J96" s="257" t="str">
        <f t="shared" si="69"/>
        <v/>
      </c>
      <c r="K96" s="257" t="str">
        <f t="shared" si="69"/>
        <v/>
      </c>
      <c r="L96" s="257" t="str">
        <f t="shared" si="69"/>
        <v/>
      </c>
      <c r="N96" s="244"/>
    </row>
    <row r="97" ht="15.75" customHeight="1">
      <c r="A97" s="245" t="str">
        <f>IF(A95="[Unused]","",$A$66)</f>
        <v>   Enter volume to Buy(+) or Sell(-) [maf]</v>
      </c>
      <c r="C97" s="246">
        <v>0.005</v>
      </c>
      <c r="D97" s="302">
        <v>0.0</v>
      </c>
      <c r="E97" s="247"/>
      <c r="F97" s="247"/>
      <c r="G97" s="247"/>
      <c r="H97" s="247"/>
      <c r="I97" s="247"/>
      <c r="J97" s="247"/>
      <c r="K97" s="247"/>
      <c r="L97" s="247"/>
      <c r="M97" s="275">
        <f>SUM(C97:L97)</f>
        <v>0.005</v>
      </c>
      <c r="N97" s="225" t="s">
        <v>270</v>
      </c>
    </row>
    <row r="98" ht="15.75" customHeight="1">
      <c r="A98" s="245" t="str">
        <f>IF(A97="","","   Enter price per acre-foot to Buy(-) or Sell(+)")</f>
        <v>   Enter price per acre-foot to Buy(-) or Sell(+)</v>
      </c>
      <c r="C98" s="249">
        <v>-175.0</v>
      </c>
      <c r="D98" s="249">
        <v>0.0</v>
      </c>
      <c r="E98" s="250"/>
      <c r="F98" s="250"/>
      <c r="G98" s="250"/>
      <c r="H98" s="250"/>
      <c r="I98" s="250"/>
      <c r="J98" s="250"/>
      <c r="K98" s="250"/>
      <c r="L98" s="251"/>
      <c r="M98" s="252"/>
      <c r="N98" s="253" t="s">
        <v>271</v>
      </c>
    </row>
    <row r="99" ht="15.75" customHeight="1">
      <c r="A99" s="68" t="s">
        <v>272</v>
      </c>
      <c r="C99" s="303">
        <v>1.0</v>
      </c>
      <c r="D99" s="254">
        <f t="shared" ref="D99:G99" si="70">IF(OR(D97="",D98=""),"",IF(D98&gt;0,ABS(D97*D98),D97*D98)
)</f>
        <v>0</v>
      </c>
      <c r="E99" s="254" t="str">
        <f t="shared" si="70"/>
        <v/>
      </c>
      <c r="F99" s="254" t="str">
        <f t="shared" si="70"/>
        <v/>
      </c>
      <c r="G99" s="254" t="str">
        <f t="shared" si="70"/>
        <v/>
      </c>
      <c r="H99" s="250"/>
      <c r="I99" s="250"/>
      <c r="J99" s="250"/>
      <c r="K99" s="250"/>
      <c r="L99" s="250"/>
      <c r="M99" s="276">
        <f>SUM(C99:L99)</f>
        <v>1</v>
      </c>
      <c r="N99" s="256" t="s">
        <v>273</v>
      </c>
    </row>
    <row r="100" ht="15.75" customHeight="1">
      <c r="A100" s="183" t="str">
        <f>IF(A98="","",$A$69)</f>
        <v>   Net trade volume all participants (should be zero)</v>
      </c>
      <c r="C100" s="87">
        <f t="shared" ref="C100:M100" si="71">IF(OR(C$28="",$A100=""),"",C$133)</f>
        <v>0</v>
      </c>
      <c r="D100" s="87">
        <f t="shared" si="71"/>
        <v>0</v>
      </c>
      <c r="E100" s="87" t="str">
        <f t="shared" si="71"/>
        <v/>
      </c>
      <c r="F100" s="87" t="str">
        <f t="shared" si="71"/>
        <v/>
      </c>
      <c r="G100" s="87" t="str">
        <f t="shared" si="71"/>
        <v/>
      </c>
      <c r="H100" s="87" t="str">
        <f t="shared" si="71"/>
        <v/>
      </c>
      <c r="I100" s="87" t="str">
        <f t="shared" si="71"/>
        <v/>
      </c>
      <c r="J100" s="87" t="str">
        <f t="shared" si="71"/>
        <v/>
      </c>
      <c r="K100" s="87" t="str">
        <f t="shared" si="71"/>
        <v/>
      </c>
      <c r="L100" s="87" t="str">
        <f t="shared" si="71"/>
        <v/>
      </c>
      <c r="M100" s="68" t="str">
        <f t="shared" si="71"/>
        <v/>
      </c>
      <c r="N100" s="38" t="s">
        <v>274</v>
      </c>
    </row>
    <row r="101" ht="15.75" customHeight="1">
      <c r="A101" s="11" t="str">
        <f>IF(A98="","","   Available Water [maf]")</f>
        <v>   Available Water [maf]</v>
      </c>
      <c r="C101" s="257">
        <f t="shared" ref="C101:L101" si="72">IF(OR(C$28="",$A101=""),"",C39+C57-C49+C97)</f>
        <v>0.1948325194</v>
      </c>
      <c r="D101" s="257">
        <f t="shared" si="72"/>
        <v>0.1938487713</v>
      </c>
      <c r="E101" s="87" t="str">
        <f t="shared" si="72"/>
        <v/>
      </c>
      <c r="F101" s="87" t="str">
        <f t="shared" si="72"/>
        <v/>
      </c>
      <c r="G101" s="87" t="str">
        <f t="shared" si="72"/>
        <v/>
      </c>
      <c r="H101" s="257" t="str">
        <f t="shared" si="72"/>
        <v/>
      </c>
      <c r="I101" s="257" t="str">
        <f t="shared" si="72"/>
        <v/>
      </c>
      <c r="J101" s="257" t="str">
        <f t="shared" si="72"/>
        <v/>
      </c>
      <c r="K101" s="257" t="str">
        <f t="shared" si="72"/>
        <v/>
      </c>
      <c r="L101" s="257" t="str">
        <f t="shared" si="72"/>
        <v/>
      </c>
      <c r="N101" s="38" t="s">
        <v>276</v>
      </c>
    </row>
    <row r="102" ht="15.75" customHeight="1">
      <c r="A102" s="84" t="str">
        <f>IF(A101="","",$A$72)</f>
        <v>   Enter withdraw [maf] within available water</v>
      </c>
      <c r="C102" s="302">
        <v>0.19</v>
      </c>
      <c r="D102" s="302">
        <v>0.185</v>
      </c>
      <c r="E102" s="268"/>
      <c r="F102" s="268"/>
      <c r="G102" s="268"/>
      <c r="H102" s="308"/>
      <c r="I102" s="308"/>
      <c r="J102" s="308"/>
      <c r="K102" s="308"/>
      <c r="L102" s="308"/>
      <c r="N102" s="38" t="s">
        <v>288</v>
      </c>
    </row>
    <row r="103" ht="15.75" customHeight="1">
      <c r="A103" s="68" t="str">
        <f>IF(A102="","","   End of Year Balance [maf]")</f>
        <v>   End of Year Balance [maf]</v>
      </c>
      <c r="C103" s="257">
        <f t="shared" ref="C103:L103" si="73">IF(OR(C$28="",$A103=""),"",C101-C102)</f>
        <v>0.004832519393</v>
      </c>
      <c r="D103" s="257">
        <f t="shared" si="73"/>
        <v>0.008848771316</v>
      </c>
      <c r="E103" s="87" t="str">
        <f t="shared" si="73"/>
        <v/>
      </c>
      <c r="F103" s="87" t="str">
        <f t="shared" si="73"/>
        <v/>
      </c>
      <c r="G103" s="87" t="str">
        <f t="shared" si="73"/>
        <v/>
      </c>
      <c r="H103" s="87" t="str">
        <f t="shared" si="73"/>
        <v/>
      </c>
      <c r="I103" s="87" t="str">
        <f t="shared" si="73"/>
        <v/>
      </c>
      <c r="J103" s="87" t="str">
        <f t="shared" si="73"/>
        <v/>
      </c>
      <c r="K103" s="87" t="str">
        <f t="shared" si="73"/>
        <v/>
      </c>
      <c r="L103" s="87" t="str">
        <f t="shared" si="73"/>
        <v/>
      </c>
      <c r="N103" s="38" t="s">
        <v>297</v>
      </c>
    </row>
    <row r="104" ht="15.75" customHeight="1">
      <c r="N104" s="44"/>
    </row>
    <row r="105" ht="15.75" customHeight="1">
      <c r="A105" s="239" t="str">
        <f>IF(A$9="","[Unused]",A9&amp;" ("&amp;B9&amp;")")</f>
        <v>Mexico (Lan)</v>
      </c>
      <c r="B105" s="240"/>
      <c r="C105" s="240"/>
      <c r="D105" s="240"/>
      <c r="E105" s="240"/>
      <c r="F105" s="240"/>
      <c r="G105" s="240"/>
      <c r="H105" s="240"/>
      <c r="I105" s="240"/>
      <c r="J105" s="240"/>
      <c r="K105" s="240"/>
      <c r="L105" s="240"/>
      <c r="M105" s="241" t="s">
        <v>116</v>
      </c>
      <c r="N105" s="244" t="s">
        <v>267</v>
      </c>
    </row>
    <row r="106" ht="15.75" customHeight="1">
      <c r="A106" s="68" t="s">
        <v>269</v>
      </c>
      <c r="C106" s="257">
        <f t="shared" ref="C106:G106" si="74">IF(OR(C$28="",$A111=""),"",C40+C58-C50)</f>
        <v>0.5903302115</v>
      </c>
      <c r="D106" s="257">
        <f t="shared" si="74"/>
        <v>1.006942529</v>
      </c>
      <c r="E106" s="87" t="str">
        <f t="shared" si="74"/>
        <v/>
      </c>
      <c r="F106" s="87" t="str">
        <f t="shared" si="74"/>
        <v/>
      </c>
      <c r="G106" s="87" t="str">
        <f t="shared" si="74"/>
        <v/>
      </c>
      <c r="H106" s="87" t="str">
        <f t="shared" ref="H106:L106" si="75">IF(OR(H$28="",$A106=""),"",H35+H53-H45+H102)</f>
        <v/>
      </c>
      <c r="I106" s="87" t="str">
        <f t="shared" si="75"/>
        <v/>
      </c>
      <c r="J106" s="87" t="str">
        <f t="shared" si="75"/>
        <v/>
      </c>
      <c r="K106" s="87" t="str">
        <f t="shared" si="75"/>
        <v/>
      </c>
      <c r="L106" s="87" t="str">
        <f t="shared" si="75"/>
        <v/>
      </c>
      <c r="N106" s="244"/>
    </row>
    <row r="107" ht="15.75" customHeight="1">
      <c r="A107" s="245" t="s">
        <v>377</v>
      </c>
      <c r="B107" s="334"/>
      <c r="C107" s="246">
        <v>0.0</v>
      </c>
      <c r="D107" s="246">
        <v>-0.005</v>
      </c>
      <c r="E107" s="247"/>
      <c r="F107" s="247"/>
      <c r="G107" s="247"/>
      <c r="H107" s="335">
        <v>0.0</v>
      </c>
      <c r="I107" s="247"/>
      <c r="J107" s="247"/>
      <c r="K107" s="247"/>
      <c r="L107" s="247"/>
      <c r="M107" s="275">
        <f>SUM(C107:L107)</f>
        <v>-0.005</v>
      </c>
      <c r="N107" s="225" t="s">
        <v>270</v>
      </c>
    </row>
    <row r="108" ht="15.75" customHeight="1">
      <c r="A108" s="245" t="s">
        <v>379</v>
      </c>
      <c r="B108" s="334"/>
      <c r="C108" s="249">
        <v>0.0</v>
      </c>
      <c r="D108" s="249">
        <v>175.0</v>
      </c>
      <c r="E108" s="250"/>
      <c r="F108" s="250"/>
      <c r="G108" s="250"/>
      <c r="H108" s="252"/>
      <c r="I108" s="250"/>
      <c r="J108" s="250"/>
      <c r="K108" s="250"/>
      <c r="L108" s="250"/>
      <c r="M108" s="252"/>
      <c r="N108" s="253" t="s">
        <v>271</v>
      </c>
    </row>
    <row r="109" ht="15.75" customHeight="1">
      <c r="A109" s="68" t="s">
        <v>272</v>
      </c>
      <c r="B109" s="334"/>
      <c r="C109" s="303">
        <v>0.0</v>
      </c>
      <c r="D109" s="336">
        <v>0.88</v>
      </c>
      <c r="E109" s="254" t="str">
        <f t="shared" ref="E109:G109" si="76">IF(OR(E107="",E108=""),"",IF(E108&gt;0,ABS(E107*E108),E107*E108)
)</f>
        <v/>
      </c>
      <c r="F109" s="254" t="str">
        <f t="shared" si="76"/>
        <v/>
      </c>
      <c r="G109" s="254" t="str">
        <f t="shared" si="76"/>
        <v/>
      </c>
      <c r="H109" s="338">
        <v>0.0</v>
      </c>
      <c r="I109" s="250"/>
      <c r="J109" s="250"/>
      <c r="K109" s="250"/>
      <c r="L109" s="250"/>
      <c r="M109" s="276">
        <f>SUM(C109:L109)</f>
        <v>0.88</v>
      </c>
      <c r="N109" s="256" t="s">
        <v>273</v>
      </c>
    </row>
    <row r="110" ht="15.75" customHeight="1">
      <c r="A110" s="183" t="str">
        <f>IF(A108="","",$A$69)</f>
        <v>   Net trade volume all participants (should be zero)</v>
      </c>
      <c r="C110" s="87">
        <f t="shared" ref="C110:M110" si="77">IF(OR(C$28="",$A110=""),"",C$133)</f>
        <v>0</v>
      </c>
      <c r="D110" s="87">
        <f t="shared" si="77"/>
        <v>0</v>
      </c>
      <c r="E110" s="87" t="str">
        <f t="shared" si="77"/>
        <v/>
      </c>
      <c r="F110" s="87" t="str">
        <f t="shared" si="77"/>
        <v/>
      </c>
      <c r="G110" s="87" t="str">
        <f t="shared" si="77"/>
        <v/>
      </c>
      <c r="H110" s="87" t="str">
        <f t="shared" si="77"/>
        <v/>
      </c>
      <c r="I110" s="87" t="str">
        <f t="shared" si="77"/>
        <v/>
      </c>
      <c r="J110" s="87" t="str">
        <f t="shared" si="77"/>
        <v/>
      </c>
      <c r="K110" s="87" t="str">
        <f t="shared" si="77"/>
        <v/>
      </c>
      <c r="L110" s="87" t="str">
        <f t="shared" si="77"/>
        <v/>
      </c>
      <c r="M110" s="68" t="str">
        <f t="shared" si="77"/>
        <v/>
      </c>
      <c r="N110" s="38" t="s">
        <v>274</v>
      </c>
    </row>
    <row r="111" ht="15.75" customHeight="1">
      <c r="A111" s="11" t="str">
        <f>IF(A108="","","   Available Water [maf]")</f>
        <v>   Available Water [maf]</v>
      </c>
      <c r="C111" s="257">
        <f t="shared" ref="C111:L111" si="78">IF(OR(C$28="",$A111=""),"",C40+C58-C50+C107)</f>
        <v>0.5903302115</v>
      </c>
      <c r="D111" s="257">
        <f t="shared" si="78"/>
        <v>1.001942529</v>
      </c>
      <c r="E111" s="87" t="str">
        <f t="shared" si="78"/>
        <v/>
      </c>
      <c r="F111" s="87" t="str">
        <f t="shared" si="78"/>
        <v/>
      </c>
      <c r="G111" s="87" t="str">
        <f t="shared" si="78"/>
        <v/>
      </c>
      <c r="H111" s="87" t="str">
        <f t="shared" si="78"/>
        <v/>
      </c>
      <c r="I111" s="87" t="str">
        <f t="shared" si="78"/>
        <v/>
      </c>
      <c r="J111" s="87" t="str">
        <f t="shared" si="78"/>
        <v/>
      </c>
      <c r="K111" s="87" t="str">
        <f t="shared" si="78"/>
        <v/>
      </c>
      <c r="L111" s="87" t="str">
        <f t="shared" si="78"/>
        <v/>
      </c>
      <c r="N111" s="38" t="s">
        <v>276</v>
      </c>
    </row>
    <row r="112" ht="15.75" customHeight="1">
      <c r="A112" s="84" t="str">
        <f>IF(A111="","",$A$72)</f>
        <v>   Enter withdraw [maf] within available water</v>
      </c>
      <c r="C112" s="302">
        <v>0.57</v>
      </c>
      <c r="D112" s="302">
        <v>0.755</v>
      </c>
      <c r="E112" s="268"/>
      <c r="F112" s="268"/>
      <c r="G112" s="268"/>
      <c r="H112" s="268"/>
      <c r="I112" s="268"/>
      <c r="J112" s="268"/>
      <c r="K112" s="268"/>
      <c r="L112" s="268"/>
      <c r="N112" s="38" t="s">
        <v>288</v>
      </c>
    </row>
    <row r="113" ht="15.75" customHeight="1">
      <c r="A113" s="68" t="str">
        <f>IF(A112="","","   End of Year Balance [maf]")</f>
        <v>   End of Year Balance [maf]</v>
      </c>
      <c r="C113" s="257">
        <f t="shared" ref="C113:L113" si="79">IF(OR(C$28="",$A113=""),"",C111-C112)</f>
        <v>0.02033021153</v>
      </c>
      <c r="D113" s="257">
        <f t="shared" si="79"/>
        <v>0.2469425287</v>
      </c>
      <c r="E113" s="87" t="str">
        <f t="shared" si="79"/>
        <v/>
      </c>
      <c r="F113" s="87" t="str">
        <f t="shared" si="79"/>
        <v/>
      </c>
      <c r="G113" s="87" t="str">
        <f t="shared" si="79"/>
        <v/>
      </c>
      <c r="H113" s="87" t="str">
        <f t="shared" si="79"/>
        <v/>
      </c>
      <c r="I113" s="87" t="str">
        <f t="shared" si="79"/>
        <v/>
      </c>
      <c r="J113" s="87" t="str">
        <f t="shared" si="79"/>
        <v/>
      </c>
      <c r="K113" s="87" t="str">
        <f t="shared" si="79"/>
        <v/>
      </c>
      <c r="L113" s="87" t="str">
        <f t="shared" si="79"/>
        <v/>
      </c>
      <c r="N113" s="38" t="s">
        <v>297</v>
      </c>
    </row>
    <row r="114" ht="15.75" customHeight="1">
      <c r="N114" s="44"/>
    </row>
    <row r="115" ht="15.75" customHeight="1">
      <c r="A115" s="239" t="str">
        <f>IF(A$10="","[Unused]",A10&amp;" ("&amp;B10&amp;")")</f>
        <v>Tribal Nations of the Lower Basin (Maddie)</v>
      </c>
      <c r="B115" s="240"/>
      <c r="C115" s="240"/>
      <c r="D115" s="240"/>
      <c r="E115" s="240"/>
      <c r="F115" s="240"/>
      <c r="G115" s="240"/>
      <c r="H115" s="240"/>
      <c r="I115" s="240"/>
      <c r="J115" s="240"/>
      <c r="K115" s="240"/>
      <c r="L115" s="240"/>
      <c r="M115" s="241" t="s">
        <v>116</v>
      </c>
      <c r="N115" s="244" t="s">
        <v>267</v>
      </c>
    </row>
    <row r="116" ht="15.75" customHeight="1">
      <c r="A116" s="68" t="s">
        <v>269</v>
      </c>
      <c r="C116" s="87">
        <f t="shared" ref="C116:G116" si="80">IF(OR(C$28="",$A121=""),"",C41+C59-C51)</f>
        <v>0.3635121343</v>
      </c>
      <c r="D116" s="87">
        <f t="shared" si="80"/>
        <v>0.5930817592</v>
      </c>
      <c r="E116" s="87" t="str">
        <f t="shared" si="80"/>
        <v/>
      </c>
      <c r="F116" s="87" t="str">
        <f t="shared" si="80"/>
        <v/>
      </c>
      <c r="G116" s="87" t="str">
        <f t="shared" si="80"/>
        <v/>
      </c>
      <c r="H116" s="87" t="str">
        <f t="shared" ref="H116:L116" si="81">IF(OR(H$28="",$A116=""),"",H36+H54-H46+H112)</f>
        <v/>
      </c>
      <c r="I116" s="87" t="str">
        <f t="shared" si="81"/>
        <v/>
      </c>
      <c r="J116" s="87" t="str">
        <f t="shared" si="81"/>
        <v/>
      </c>
      <c r="K116" s="87" t="str">
        <f t="shared" si="81"/>
        <v/>
      </c>
      <c r="L116" s="87" t="str">
        <f t="shared" si="81"/>
        <v/>
      </c>
      <c r="N116" s="244"/>
    </row>
    <row r="117" ht="15.75" customHeight="1">
      <c r="A117" s="245" t="s">
        <v>377</v>
      </c>
      <c r="B117" s="334"/>
      <c r="C117" s="246">
        <v>0.0</v>
      </c>
      <c r="D117" s="246">
        <v>-0.1</v>
      </c>
      <c r="E117" s="247"/>
      <c r="F117" s="247"/>
      <c r="G117" s="247"/>
      <c r="H117" s="335">
        <v>0.0</v>
      </c>
      <c r="I117" s="247"/>
      <c r="J117" s="247"/>
      <c r="K117" s="247"/>
      <c r="L117" s="247"/>
      <c r="M117" s="275">
        <f>SUM(C117:L117)</f>
        <v>-0.1</v>
      </c>
      <c r="N117" s="225" t="s">
        <v>270</v>
      </c>
    </row>
    <row r="118" ht="15.75" customHeight="1">
      <c r="A118" s="245" t="s">
        <v>379</v>
      </c>
      <c r="B118" s="334"/>
      <c r="C118" s="249">
        <v>0.0</v>
      </c>
      <c r="D118" s="249">
        <v>175.0</v>
      </c>
      <c r="E118" s="250"/>
      <c r="F118" s="250"/>
      <c r="G118" s="250"/>
      <c r="H118" s="252"/>
      <c r="I118" s="250"/>
      <c r="J118" s="250"/>
      <c r="K118" s="250"/>
      <c r="L118" s="250"/>
      <c r="M118" s="252"/>
      <c r="N118" s="253" t="s">
        <v>271</v>
      </c>
    </row>
    <row r="119" ht="15.75" customHeight="1">
      <c r="A119" s="68" t="s">
        <v>272</v>
      </c>
      <c r="B119" s="334"/>
      <c r="C119" s="254">
        <f t="shared" ref="C119:G119" si="82">IF(OR(C117="",C118=""),"",IF(C118&gt;0,ABS(C117*C118),C117*C118)
)</f>
        <v>0</v>
      </c>
      <c r="D119" s="254">
        <f t="shared" si="82"/>
        <v>17.5</v>
      </c>
      <c r="E119" s="254" t="str">
        <f t="shared" si="82"/>
        <v/>
      </c>
      <c r="F119" s="254" t="str">
        <f t="shared" si="82"/>
        <v/>
      </c>
      <c r="G119" s="254" t="str">
        <f t="shared" si="82"/>
        <v/>
      </c>
      <c r="H119" s="338">
        <v>0.0</v>
      </c>
      <c r="I119" s="250"/>
      <c r="J119" s="250"/>
      <c r="K119" s="250"/>
      <c r="L119" s="250"/>
      <c r="M119" s="276">
        <f>SUM(C119:L119)</f>
        <v>17.5</v>
      </c>
      <c r="N119" s="256" t="s">
        <v>273</v>
      </c>
    </row>
    <row r="120" ht="15.75" customHeight="1">
      <c r="A120" s="183" t="str">
        <f>IF(A118="","",$A$69)</f>
        <v>   Net trade volume all participants (should be zero)</v>
      </c>
      <c r="C120" s="87">
        <f t="shared" ref="C120:M120" si="83">IF(OR(C$28="",$A120=""),"",C$133)</f>
        <v>0</v>
      </c>
      <c r="D120" s="87">
        <f t="shared" si="83"/>
        <v>0</v>
      </c>
      <c r="E120" s="87" t="str">
        <f t="shared" si="83"/>
        <v/>
      </c>
      <c r="F120" s="87" t="str">
        <f t="shared" si="83"/>
        <v/>
      </c>
      <c r="G120" s="87" t="str">
        <f t="shared" si="83"/>
        <v/>
      </c>
      <c r="H120" s="87" t="str">
        <f t="shared" si="83"/>
        <v/>
      </c>
      <c r="I120" s="87" t="str">
        <f t="shared" si="83"/>
        <v/>
      </c>
      <c r="J120" s="87" t="str">
        <f t="shared" si="83"/>
        <v/>
      </c>
      <c r="K120" s="87" t="str">
        <f t="shared" si="83"/>
        <v/>
      </c>
      <c r="L120" s="87" t="str">
        <f t="shared" si="83"/>
        <v/>
      </c>
      <c r="M120" s="68" t="str">
        <f t="shared" si="83"/>
        <v/>
      </c>
      <c r="N120" s="38" t="s">
        <v>274</v>
      </c>
    </row>
    <row r="121" ht="15.75" customHeight="1">
      <c r="A121" s="11" t="str">
        <f>IF(A118="","","   Available Water [maf]")</f>
        <v>   Available Water [maf]</v>
      </c>
      <c r="C121" s="87">
        <f t="shared" ref="C121:L121" si="84">IF(OR(C$28="",$A121=""),"",C41+C59-C51+C117)</f>
        <v>0.3635121343</v>
      </c>
      <c r="D121" s="87">
        <f t="shared" si="84"/>
        <v>0.4930817592</v>
      </c>
      <c r="E121" s="87" t="str">
        <f t="shared" si="84"/>
        <v/>
      </c>
      <c r="F121" s="87" t="str">
        <f t="shared" si="84"/>
        <v/>
      </c>
      <c r="G121" s="87" t="str">
        <f t="shared" si="84"/>
        <v/>
      </c>
      <c r="H121" s="87" t="str">
        <f t="shared" si="84"/>
        <v/>
      </c>
      <c r="I121" s="87" t="str">
        <f t="shared" si="84"/>
        <v/>
      </c>
      <c r="J121" s="87" t="str">
        <f t="shared" si="84"/>
        <v/>
      </c>
      <c r="K121" s="87" t="str">
        <f t="shared" si="84"/>
        <v/>
      </c>
      <c r="L121" s="87" t="str">
        <f t="shared" si="84"/>
        <v/>
      </c>
      <c r="N121" s="38" t="s">
        <v>276</v>
      </c>
    </row>
    <row r="122" ht="15.75" customHeight="1">
      <c r="A122" s="84" t="str">
        <f>IF(A121="","",$A$72)</f>
        <v>   Enter withdraw [maf] within available water</v>
      </c>
      <c r="C122" s="266">
        <v>0.4</v>
      </c>
      <c r="D122" s="266">
        <v>0.4</v>
      </c>
      <c r="E122" s="268"/>
      <c r="F122" s="268"/>
      <c r="G122" s="268"/>
      <c r="H122" s="340"/>
      <c r="I122" s="340"/>
      <c r="J122" s="340"/>
      <c r="K122" s="340"/>
      <c r="L122" s="340"/>
      <c r="N122" s="38" t="s">
        <v>288</v>
      </c>
    </row>
    <row r="123" ht="15.75" customHeight="1">
      <c r="A123" s="68" t="str">
        <f>IF(A122="","","   End of Year Balance [maf]")</f>
        <v>   End of Year Balance [maf]</v>
      </c>
      <c r="C123" s="87">
        <f t="shared" ref="C123:L123" si="85">IF(OR(C$28="",$A123=""),"",C121-C122)</f>
        <v>-0.03648786575</v>
      </c>
      <c r="D123" s="87">
        <f t="shared" si="85"/>
        <v>0.09308175922</v>
      </c>
      <c r="E123" s="87" t="str">
        <f t="shared" si="85"/>
        <v/>
      </c>
      <c r="F123" s="87" t="str">
        <f t="shared" si="85"/>
        <v/>
      </c>
      <c r="G123" s="87" t="str">
        <f t="shared" si="85"/>
        <v/>
      </c>
      <c r="H123" s="87" t="str">
        <f t="shared" si="85"/>
        <v/>
      </c>
      <c r="I123" s="87" t="str">
        <f t="shared" si="85"/>
        <v/>
      </c>
      <c r="J123" s="87" t="str">
        <f t="shared" si="85"/>
        <v/>
      </c>
      <c r="K123" s="87" t="str">
        <f t="shared" si="85"/>
        <v/>
      </c>
      <c r="L123" s="87" t="str">
        <f t="shared" si="85"/>
        <v/>
      </c>
      <c r="N123" s="38" t="s">
        <v>297</v>
      </c>
    </row>
    <row r="124" ht="15.75" customHeight="1">
      <c r="N124" s="44"/>
    </row>
    <row r="125" ht="15.75" customHeight="1">
      <c r="A125" s="237" t="s">
        <v>386</v>
      </c>
      <c r="B125" s="237"/>
      <c r="C125" s="237"/>
      <c r="D125" s="237"/>
      <c r="E125" s="237"/>
      <c r="F125" s="237"/>
      <c r="G125" s="237"/>
      <c r="H125" s="237"/>
      <c r="I125" s="237"/>
      <c r="J125" s="237"/>
      <c r="K125" s="237"/>
      <c r="L125" s="237"/>
      <c r="M125" s="237"/>
      <c r="N125" s="38" t="s">
        <v>387</v>
      </c>
    </row>
    <row r="126" ht="15.75" customHeight="1">
      <c r="A126" s="11" t="s">
        <v>388</v>
      </c>
      <c r="M126" s="68" t="s">
        <v>389</v>
      </c>
      <c r="N126" s="44"/>
    </row>
    <row r="127" ht="15.75" customHeight="1">
      <c r="A127" s="68" t="str">
        <f t="shared" ref="A127:A132" si="88">IF(A5="","","    "&amp;A5)</f>
        <v>    Reclamation - Protect Zone</v>
      </c>
      <c r="B127" s="11"/>
      <c r="C127" s="87">
        <f t="shared" ref="C127:G127" si="86">IF(OR(C$28="",$A127=""),"",C66)</f>
        <v>-0.05</v>
      </c>
      <c r="D127" s="87">
        <f t="shared" si="86"/>
        <v>0.015</v>
      </c>
      <c r="E127" s="87" t="str">
        <f t="shared" si="86"/>
        <v/>
      </c>
      <c r="F127" s="87" t="str">
        <f t="shared" si="86"/>
        <v/>
      </c>
      <c r="G127" s="87" t="str">
        <f t="shared" si="86"/>
        <v/>
      </c>
      <c r="H127" s="87" t="str">
        <f t="shared" ref="H127:L127" si="87">IF(OR(H$28="",$A127=""),"",OFFSET(H$66,8*(ROW(G127)-ROW(G$127)),0))</f>
        <v/>
      </c>
      <c r="I127" s="87" t="str">
        <f t="shared" si="87"/>
        <v/>
      </c>
      <c r="J127" s="87" t="str">
        <f t="shared" si="87"/>
        <v/>
      </c>
      <c r="K127" s="87" t="str">
        <f t="shared" si="87"/>
        <v/>
      </c>
      <c r="L127" s="343" t="str">
        <f t="shared" si="87"/>
        <v/>
      </c>
      <c r="M127" s="236">
        <f t="shared" ref="M127:M132" si="91">IF(OR($A127=""),"",SUM(C127:L127))</f>
        <v>-0.035</v>
      </c>
      <c r="N127" s="344"/>
    </row>
    <row r="128" ht="15.75" customHeight="1">
      <c r="A128" s="68" t="str">
        <f t="shared" si="88"/>
        <v>    California</v>
      </c>
      <c r="B128" s="11"/>
      <c r="C128" s="87">
        <f t="shared" ref="C128:G128" si="89">IF(OR(C$28="",$A128=""),"",C77)</f>
        <v>0.035</v>
      </c>
      <c r="D128" s="87">
        <f t="shared" si="89"/>
        <v>0.1</v>
      </c>
      <c r="E128" s="87" t="str">
        <f t="shared" si="89"/>
        <v/>
      </c>
      <c r="F128" s="87" t="str">
        <f t="shared" si="89"/>
        <v/>
      </c>
      <c r="G128" s="87" t="str">
        <f t="shared" si="89"/>
        <v/>
      </c>
      <c r="H128" s="87" t="str">
        <f t="shared" ref="H128:L128" si="90">IF(OR(H$28="",$A128=""),"",OFFSET(H$66,8*(ROW(G128)-ROW(G$127)),0))</f>
        <v/>
      </c>
      <c r="I128" s="87" t="str">
        <f t="shared" si="90"/>
        <v/>
      </c>
      <c r="J128" s="87" t="str">
        <f t="shared" si="90"/>
        <v/>
      </c>
      <c r="K128" s="87" t="str">
        <f t="shared" si="90"/>
        <v/>
      </c>
      <c r="L128" s="343" t="str">
        <f t="shared" si="90"/>
        <v/>
      </c>
      <c r="M128" s="236">
        <f t="shared" si="91"/>
        <v>0.135</v>
      </c>
      <c r="N128" s="344"/>
    </row>
    <row r="129" ht="15.75" customHeight="1">
      <c r="A129" s="68" t="str">
        <f t="shared" si="88"/>
        <v>    Arizona</v>
      </c>
      <c r="B129" s="11"/>
      <c r="C129" s="87">
        <f t="shared" ref="C129:G129" si="92">IF(OR(C$28="",$A129=""),"",C87)</f>
        <v>0.01</v>
      </c>
      <c r="D129" s="87">
        <f t="shared" si="92"/>
        <v>-0.01</v>
      </c>
      <c r="E129" s="87" t="str">
        <f t="shared" si="92"/>
        <v/>
      </c>
      <c r="F129" s="87" t="str">
        <f t="shared" si="92"/>
        <v/>
      </c>
      <c r="G129" s="87" t="str">
        <f t="shared" si="92"/>
        <v/>
      </c>
      <c r="H129" s="87" t="str">
        <f t="shared" ref="H129:L129" si="93">IF(OR(H$28="",$A129=""),"",OFFSET(H$66,8*(ROW(G129)-ROW(G$127)),0))</f>
        <v/>
      </c>
      <c r="I129" s="87" t="str">
        <f t="shared" si="93"/>
        <v/>
      </c>
      <c r="J129" s="87" t="str">
        <f t="shared" si="93"/>
        <v/>
      </c>
      <c r="K129" s="87" t="str">
        <f t="shared" si="93"/>
        <v/>
      </c>
      <c r="L129" s="343" t="str">
        <f t="shared" si="93"/>
        <v/>
      </c>
      <c r="M129" s="236">
        <f t="shared" si="91"/>
        <v>0</v>
      </c>
      <c r="N129" s="344"/>
    </row>
    <row r="130" ht="15.75" customHeight="1">
      <c r="A130" s="68" t="str">
        <f t="shared" si="88"/>
        <v>    Nevada</v>
      </c>
      <c r="B130" s="11"/>
      <c r="C130" s="87">
        <f t="shared" ref="C130:G130" si="94">IF(OR(C$28="",$A130=""),"",C97)</f>
        <v>0.005</v>
      </c>
      <c r="D130" s="87">
        <f t="shared" si="94"/>
        <v>0</v>
      </c>
      <c r="E130" s="87" t="str">
        <f t="shared" si="94"/>
        <v/>
      </c>
      <c r="F130" s="87" t="str">
        <f t="shared" si="94"/>
        <v/>
      </c>
      <c r="G130" s="87" t="str">
        <f t="shared" si="94"/>
        <v/>
      </c>
      <c r="H130" s="87" t="str">
        <f t="shared" ref="H130:L130" si="95">IF(OR(H$28="",$A130=""),"",OFFSET(H$66,8*(ROW(G130)-ROW(G$127)),0))</f>
        <v/>
      </c>
      <c r="I130" s="87" t="str">
        <f t="shared" si="95"/>
        <v/>
      </c>
      <c r="J130" s="87" t="str">
        <f t="shared" si="95"/>
        <v/>
      </c>
      <c r="K130" s="87" t="str">
        <f t="shared" si="95"/>
        <v/>
      </c>
      <c r="L130" s="343" t="str">
        <f t="shared" si="95"/>
        <v/>
      </c>
      <c r="M130" s="236">
        <f t="shared" si="91"/>
        <v>0.005</v>
      </c>
      <c r="N130" s="344"/>
    </row>
    <row r="131" ht="15.75" customHeight="1">
      <c r="A131" s="68" t="str">
        <f t="shared" si="88"/>
        <v>    Mexico</v>
      </c>
      <c r="B131" s="11"/>
      <c r="C131" s="87">
        <f t="shared" ref="C131:G131" si="96">IF(OR(C$28="",$A131=""),"",C107)</f>
        <v>0</v>
      </c>
      <c r="D131" s="87">
        <f t="shared" si="96"/>
        <v>-0.005</v>
      </c>
      <c r="E131" s="87" t="str">
        <f t="shared" si="96"/>
        <v/>
      </c>
      <c r="F131" s="87" t="str">
        <f t="shared" si="96"/>
        <v/>
      </c>
      <c r="G131" s="87" t="str">
        <f t="shared" si="96"/>
        <v/>
      </c>
      <c r="H131" s="87" t="str">
        <f t="shared" ref="H131:L131" si="97">IF(OR(H$28="",$A131=""),"",OFFSET(H$66,8*(ROW(G131)-ROW(G$127)),0))</f>
        <v/>
      </c>
      <c r="I131" s="87" t="str">
        <f t="shared" si="97"/>
        <v/>
      </c>
      <c r="J131" s="87" t="str">
        <f t="shared" si="97"/>
        <v/>
      </c>
      <c r="K131" s="87" t="str">
        <f t="shared" si="97"/>
        <v/>
      </c>
      <c r="L131" s="343" t="str">
        <f t="shared" si="97"/>
        <v/>
      </c>
      <c r="M131" s="236">
        <f t="shared" si="91"/>
        <v>-0.005</v>
      </c>
      <c r="N131" s="344"/>
    </row>
    <row r="132" ht="15.75" customHeight="1">
      <c r="A132" s="68" t="str">
        <f t="shared" si="88"/>
        <v>    Tribal Nations of the Lower Basin</v>
      </c>
      <c r="B132" s="11"/>
      <c r="C132" s="87">
        <f t="shared" ref="C132:G132" si="98">IF(OR(C$28="",$A132=""),"",C117)</f>
        <v>0</v>
      </c>
      <c r="D132" s="87">
        <f t="shared" si="98"/>
        <v>-0.1</v>
      </c>
      <c r="E132" s="87" t="str">
        <f t="shared" si="98"/>
        <v/>
      </c>
      <c r="F132" s="87" t="str">
        <f t="shared" si="98"/>
        <v/>
      </c>
      <c r="G132" s="87" t="str">
        <f t="shared" si="98"/>
        <v/>
      </c>
      <c r="H132" s="87" t="str">
        <f t="shared" ref="H132:L132" si="99">IF(OR(H$28="",$A132=""),"",OFFSET(H$66,8*(ROW(G132)-ROW(G$127)),0))</f>
        <v/>
      </c>
      <c r="I132" s="87" t="str">
        <f t="shared" si="99"/>
        <v/>
      </c>
      <c r="J132" s="87" t="str">
        <f t="shared" si="99"/>
        <v/>
      </c>
      <c r="K132" s="87" t="str">
        <f t="shared" si="99"/>
        <v/>
      </c>
      <c r="L132" s="343" t="str">
        <f t="shared" si="99"/>
        <v/>
      </c>
      <c r="M132" s="236">
        <f t="shared" si="91"/>
        <v>-0.1</v>
      </c>
      <c r="N132" s="344"/>
    </row>
    <row r="133" ht="15.75" customHeight="1">
      <c r="A133" s="68" t="s">
        <v>397</v>
      </c>
      <c r="B133" s="11"/>
      <c r="C133" s="87">
        <f t="shared" ref="C133:L133" si="100">IF(C$28&lt;&gt;"",SUM(C127:C132),"")</f>
        <v>0</v>
      </c>
      <c r="D133" s="87">
        <f t="shared" si="100"/>
        <v>0</v>
      </c>
      <c r="E133" s="87" t="str">
        <f t="shared" si="100"/>
        <v/>
      </c>
      <c r="F133" s="87" t="str">
        <f t="shared" si="100"/>
        <v/>
      </c>
      <c r="G133" s="87" t="str">
        <f t="shared" si="100"/>
        <v/>
      </c>
      <c r="H133" s="349" t="str">
        <f t="shared" si="100"/>
        <v/>
      </c>
      <c r="I133" s="349" t="str">
        <f t="shared" si="100"/>
        <v/>
      </c>
      <c r="J133" s="349" t="str">
        <f t="shared" si="100"/>
        <v/>
      </c>
      <c r="K133" s="349" t="str">
        <f t="shared" si="100"/>
        <v/>
      </c>
      <c r="L133" s="349" t="str">
        <f t="shared" si="100"/>
        <v/>
      </c>
      <c r="M133" s="350"/>
      <c r="N133" s="351"/>
    </row>
    <row r="134" ht="15.75" customHeight="1">
      <c r="A134" s="11" t="s">
        <v>398</v>
      </c>
      <c r="B134" s="11"/>
      <c r="C134" s="352"/>
      <c r="D134" s="8"/>
      <c r="E134" s="352"/>
      <c r="F134" s="8"/>
      <c r="G134" s="8"/>
      <c r="H134" s="8"/>
      <c r="I134" s="8"/>
      <c r="J134" s="8"/>
      <c r="K134" s="8"/>
      <c r="L134" s="8"/>
      <c r="N134" s="44"/>
    </row>
    <row r="135" ht="15.75" customHeight="1">
      <c r="A135" s="68" t="str">
        <f>IF(A5="","","    "&amp;A5&amp;" - Consumptive Use and Headwaters Losses")</f>
        <v>    Reclamation - Protect Zone - Consumptive Use and Headwaters Losses</v>
      </c>
      <c r="C135" s="87">
        <f t="shared" ref="C135:G135" si="101">IF(OR(C$28="",$A135=""),"",C72)</f>
        <v>0</v>
      </c>
      <c r="D135" s="87">
        <f t="shared" si="101"/>
        <v>0</v>
      </c>
      <c r="E135" s="87" t="str">
        <f t="shared" si="101"/>
        <v/>
      </c>
      <c r="F135" s="87" t="str">
        <f t="shared" si="101"/>
        <v/>
      </c>
      <c r="G135" s="87" t="str">
        <f t="shared" si="101"/>
        <v/>
      </c>
      <c r="H135" s="87" t="str">
        <f t="shared" ref="H135:L135" si="102">IF(OR(H$28="",$A135=""),"",OFFSET(H$72,8*(ROW(G135)-ROW(G$135)),0))</f>
        <v/>
      </c>
      <c r="I135" s="87" t="str">
        <f t="shared" si="102"/>
        <v/>
      </c>
      <c r="J135" s="87" t="str">
        <f t="shared" si="102"/>
        <v/>
      </c>
      <c r="K135" s="87" t="str">
        <f t="shared" si="102"/>
        <v/>
      </c>
      <c r="L135" s="87" t="str">
        <f t="shared" si="102"/>
        <v/>
      </c>
      <c r="N135" s="44"/>
    </row>
    <row r="136" ht="15.75" customHeight="1">
      <c r="A136" s="68" t="str">
        <f t="shared" ref="A136:A140" si="105">IF(A6="","","    "&amp;A6&amp;" - Release from Mead")</f>
        <v>    California - Release from Mead</v>
      </c>
      <c r="C136" s="87">
        <f t="shared" ref="C136:G136" si="103">IF(OR(C$28="",$A136=""),"",C82)</f>
        <v>1.85</v>
      </c>
      <c r="D136" s="87">
        <f t="shared" si="103"/>
        <v>3.05</v>
      </c>
      <c r="E136" s="87" t="str">
        <f t="shared" si="103"/>
        <v/>
      </c>
      <c r="F136" s="87" t="str">
        <f t="shared" si="103"/>
        <v/>
      </c>
      <c r="G136" s="87" t="str">
        <f t="shared" si="103"/>
        <v/>
      </c>
      <c r="H136" s="87" t="str">
        <f t="shared" ref="H136:L136" si="104">IF(OR(H$28="",$A136=""),"",OFFSET(H$72,8*(ROW(G136)-ROW(G$135)),0))</f>
        <v/>
      </c>
      <c r="I136" s="87" t="str">
        <f t="shared" si="104"/>
        <v/>
      </c>
      <c r="J136" s="87" t="str">
        <f t="shared" si="104"/>
        <v/>
      </c>
      <c r="K136" s="87" t="str">
        <f t="shared" si="104"/>
        <v/>
      </c>
      <c r="L136" s="87" t="str">
        <f t="shared" si="104"/>
        <v/>
      </c>
      <c r="N136" s="44"/>
    </row>
    <row r="137" ht="15.75" customHeight="1">
      <c r="A137" s="68" t="str">
        <f t="shared" si="105"/>
        <v>    Arizona - Release from Mead</v>
      </c>
      <c r="C137" s="87">
        <f t="shared" ref="C137:G137" si="106">IF(OR(C$28="",$A137=""),"",C92)</f>
        <v>0.7555906561</v>
      </c>
      <c r="D137" s="87">
        <f t="shared" si="106"/>
        <v>0.75</v>
      </c>
      <c r="E137" s="87" t="str">
        <f t="shared" si="106"/>
        <v/>
      </c>
      <c r="F137" s="87" t="str">
        <f t="shared" si="106"/>
        <v/>
      </c>
      <c r="G137" s="87" t="str">
        <f t="shared" si="106"/>
        <v/>
      </c>
      <c r="H137" s="87" t="str">
        <f t="shared" ref="H137:L137" si="107">IF(OR(H$28="",$A137=""),"",OFFSET(H$72,8*(ROW(G137)-ROW(G$135)),0))</f>
        <v/>
      </c>
      <c r="I137" s="87" t="str">
        <f t="shared" si="107"/>
        <v/>
      </c>
      <c r="J137" s="87" t="str">
        <f t="shared" si="107"/>
        <v/>
      </c>
      <c r="K137" s="87" t="str">
        <f t="shared" si="107"/>
        <v/>
      </c>
      <c r="L137" s="87" t="str">
        <f t="shared" si="107"/>
        <v/>
      </c>
      <c r="N137" s="44"/>
    </row>
    <row r="138" ht="15.75" customHeight="1">
      <c r="A138" s="68" t="str">
        <f t="shared" si="105"/>
        <v>    Nevada - Release from Mead</v>
      </c>
      <c r="C138" s="87">
        <f t="shared" ref="C138:G138" si="108">IF(OR(C$28="",$A138=""),"",C102)</f>
        <v>0.19</v>
      </c>
      <c r="D138" s="87">
        <f t="shared" si="108"/>
        <v>0.185</v>
      </c>
      <c r="E138" s="87" t="str">
        <f t="shared" si="108"/>
        <v/>
      </c>
      <c r="F138" s="87" t="str">
        <f t="shared" si="108"/>
        <v/>
      </c>
      <c r="G138" s="87" t="str">
        <f t="shared" si="108"/>
        <v/>
      </c>
      <c r="H138" s="87" t="str">
        <f t="shared" ref="H138:L138" si="109">IF(OR(H$28="",$A138=""),"",OFFSET(H$72,8*(ROW(G138)-ROW(G$135)),0))</f>
        <v/>
      </c>
      <c r="I138" s="87" t="str">
        <f t="shared" si="109"/>
        <v/>
      </c>
      <c r="J138" s="87" t="str">
        <f t="shared" si="109"/>
        <v/>
      </c>
      <c r="K138" s="87" t="str">
        <f t="shared" si="109"/>
        <v/>
      </c>
      <c r="L138" s="87" t="str">
        <f t="shared" si="109"/>
        <v/>
      </c>
      <c r="N138" s="44"/>
    </row>
    <row r="139" ht="15.75" customHeight="1">
      <c r="A139" s="68" t="str">
        <f t="shared" si="105"/>
        <v>    Mexico - Release from Mead</v>
      </c>
      <c r="C139" s="87">
        <f t="shared" ref="C139:G139" si="110">IF(OR(C$28="",$A139=""),"",C112)</f>
        <v>0.57</v>
      </c>
      <c r="D139" s="87">
        <f t="shared" si="110"/>
        <v>0.755</v>
      </c>
      <c r="E139" s="87" t="str">
        <f t="shared" si="110"/>
        <v/>
      </c>
      <c r="F139" s="87" t="str">
        <f t="shared" si="110"/>
        <v/>
      </c>
      <c r="G139" s="87" t="str">
        <f t="shared" si="110"/>
        <v/>
      </c>
      <c r="H139" s="87" t="str">
        <f t="shared" ref="H139:L139" si="111">IF(OR(H$28="",$A139=""),"",OFFSET(H$72,8*(ROW(G139)-ROW(G$135)),0))</f>
        <v/>
      </c>
      <c r="I139" s="87" t="str">
        <f t="shared" si="111"/>
        <v/>
      </c>
      <c r="J139" s="87" t="str">
        <f t="shared" si="111"/>
        <v/>
      </c>
      <c r="K139" s="87" t="str">
        <f t="shared" si="111"/>
        <v/>
      </c>
      <c r="L139" s="87" t="str">
        <f t="shared" si="111"/>
        <v/>
      </c>
      <c r="N139" s="44"/>
    </row>
    <row r="140" ht="15.75" customHeight="1">
      <c r="A140" s="68" t="str">
        <f t="shared" si="105"/>
        <v>    Tribal Nations of the Lower Basin - Release from Mead</v>
      </c>
      <c r="C140" s="87">
        <f t="shared" ref="C140:G140" si="112">IF(OR(C$28="",$A140=""),"",C122)</f>
        <v>0.4</v>
      </c>
      <c r="D140" s="87">
        <f t="shared" si="112"/>
        <v>0.4</v>
      </c>
      <c r="E140" s="87" t="str">
        <f t="shared" si="112"/>
        <v/>
      </c>
      <c r="F140" s="87" t="str">
        <f t="shared" si="112"/>
        <v/>
      </c>
      <c r="G140" s="87" t="str">
        <f t="shared" si="112"/>
        <v/>
      </c>
      <c r="H140" s="87" t="str">
        <f t="shared" ref="H140:L140" si="113">IF(OR(H$28="",$A140=""),"",OFFSET(H$72,8*(ROW(G140)-ROW(G$135)),0))</f>
        <v/>
      </c>
      <c r="I140" s="87" t="str">
        <f t="shared" si="113"/>
        <v/>
      </c>
      <c r="J140" s="87" t="str">
        <f t="shared" si="113"/>
        <v/>
      </c>
      <c r="K140" s="87" t="str">
        <f t="shared" si="113"/>
        <v/>
      </c>
      <c r="L140" s="87" t="str">
        <f t="shared" si="113"/>
        <v/>
      </c>
      <c r="N140" s="44"/>
    </row>
    <row r="141" ht="15.75" customHeight="1">
      <c r="A141" s="11" t="s">
        <v>399</v>
      </c>
      <c r="B141" s="11"/>
      <c r="C141" s="227"/>
      <c r="D141" s="8"/>
      <c r="E141" s="8"/>
      <c r="F141" s="8"/>
      <c r="G141" s="8"/>
      <c r="H141" s="8"/>
      <c r="I141" s="8"/>
      <c r="J141" s="8"/>
      <c r="K141" s="8"/>
      <c r="L141" s="8"/>
      <c r="N141" s="44"/>
    </row>
    <row r="142" ht="15.75" customHeight="1">
      <c r="A142" s="68" t="str">
        <f t="shared" ref="A142:A147" si="116">IF(A5="","","    "&amp;A5)</f>
        <v>    Reclamation - Protect Zone</v>
      </c>
      <c r="C142" s="87">
        <f t="shared" ref="C142:G142" si="114">IF(OR(C$28="",$A142=""),"",C73)</f>
        <v>5.614593</v>
      </c>
      <c r="D142" s="87">
        <f t="shared" si="114"/>
        <v>5.629593</v>
      </c>
      <c r="E142" s="87" t="str">
        <f t="shared" si="114"/>
        <v/>
      </c>
      <c r="F142" s="87" t="str">
        <f t="shared" si="114"/>
        <v/>
      </c>
      <c r="G142" s="87" t="str">
        <f t="shared" si="114"/>
        <v/>
      </c>
      <c r="H142" s="87" t="str">
        <f t="shared" ref="H142:L142" si="115">IF(OR(H$28="",$A142=""),"",OFFSET(H$73,8*(ROW(G142)-ROW(G$142)),0))</f>
        <v/>
      </c>
      <c r="I142" s="87" t="str">
        <f t="shared" si="115"/>
        <v/>
      </c>
      <c r="J142" s="87" t="str">
        <f t="shared" si="115"/>
        <v/>
      </c>
      <c r="K142" s="87" t="str">
        <f t="shared" si="115"/>
        <v/>
      </c>
      <c r="L142" s="87" t="str">
        <f t="shared" si="115"/>
        <v/>
      </c>
      <c r="N142" s="44"/>
    </row>
    <row r="143" ht="15.75" customHeight="1">
      <c r="A143" s="68" t="str">
        <f t="shared" si="116"/>
        <v>    California</v>
      </c>
      <c r="C143" s="87">
        <f t="shared" ref="C143:G143" si="117">IF(OR(C$28="",$A143=""),"",C83)</f>
        <v>0.0282648114</v>
      </c>
      <c r="D143" s="87">
        <f t="shared" si="117"/>
        <v>0.01617706212</v>
      </c>
      <c r="E143" s="87" t="str">
        <f t="shared" si="117"/>
        <v/>
      </c>
      <c r="F143" s="87" t="str">
        <f t="shared" si="117"/>
        <v/>
      </c>
      <c r="G143" s="87" t="str">
        <f t="shared" si="117"/>
        <v/>
      </c>
      <c r="H143" s="87" t="str">
        <f t="shared" ref="H143:L143" si="118">IF(OR(H$28="",$A143=""),"",OFFSET(H$73,8*(ROW(G143)-ROW(G$142)),0))</f>
        <v/>
      </c>
      <c r="I143" s="87" t="str">
        <f t="shared" si="118"/>
        <v/>
      </c>
      <c r="J143" s="87" t="str">
        <f t="shared" si="118"/>
        <v/>
      </c>
      <c r="K143" s="87" t="str">
        <f t="shared" si="118"/>
        <v/>
      </c>
      <c r="L143" s="87" t="str">
        <f t="shared" si="118"/>
        <v/>
      </c>
      <c r="N143" s="44"/>
    </row>
    <row r="144" ht="15.75" customHeight="1">
      <c r="A144" s="68" t="str">
        <f t="shared" si="116"/>
        <v>    Arizona</v>
      </c>
      <c r="C144" s="87">
        <f t="shared" ref="C144:G144" si="119">IF(OR(C$28="",$A144=""),"",C93)</f>
        <v>0</v>
      </c>
      <c r="D144" s="87">
        <f t="shared" si="119"/>
        <v>0.4235275552</v>
      </c>
      <c r="E144" s="87" t="str">
        <f t="shared" si="119"/>
        <v/>
      </c>
      <c r="F144" s="87" t="str">
        <f t="shared" si="119"/>
        <v/>
      </c>
      <c r="G144" s="87" t="str">
        <f t="shared" si="119"/>
        <v/>
      </c>
      <c r="H144" s="87" t="str">
        <f t="shared" ref="H144:L144" si="120">IF(OR(H$28="",$A144=""),"",OFFSET(H$73,8*(ROW(G144)-ROW(G$142)),0))</f>
        <v/>
      </c>
      <c r="I144" s="87" t="str">
        <f t="shared" si="120"/>
        <v/>
      </c>
      <c r="J144" s="87" t="str">
        <f t="shared" si="120"/>
        <v/>
      </c>
      <c r="K144" s="87" t="str">
        <f t="shared" si="120"/>
        <v/>
      </c>
      <c r="L144" s="87" t="str">
        <f t="shared" si="120"/>
        <v/>
      </c>
      <c r="N144" s="44"/>
    </row>
    <row r="145" ht="15.75" customHeight="1">
      <c r="A145" s="68" t="str">
        <f t="shared" si="116"/>
        <v>    Nevada</v>
      </c>
      <c r="C145" s="87">
        <f t="shared" ref="C145:G145" si="121">IF(OR(C$28="",$A145=""),"",C103)</f>
        <v>0.004832519393</v>
      </c>
      <c r="D145" s="87">
        <f t="shared" si="121"/>
        <v>0.008848771316</v>
      </c>
      <c r="E145" s="87" t="str">
        <f t="shared" si="121"/>
        <v/>
      </c>
      <c r="F145" s="87" t="str">
        <f t="shared" si="121"/>
        <v/>
      </c>
      <c r="G145" s="87" t="str">
        <f t="shared" si="121"/>
        <v/>
      </c>
      <c r="H145" s="87" t="str">
        <f t="shared" ref="H145:L145" si="122">IF(OR(H$28="",$A145=""),"",OFFSET(H$73,8*(ROW(G145)-ROW(G$142)),0))</f>
        <v/>
      </c>
      <c r="I145" s="87" t="str">
        <f t="shared" si="122"/>
        <v/>
      </c>
      <c r="J145" s="87" t="str">
        <f t="shared" si="122"/>
        <v/>
      </c>
      <c r="K145" s="87" t="str">
        <f t="shared" si="122"/>
        <v/>
      </c>
      <c r="L145" s="87" t="str">
        <f t="shared" si="122"/>
        <v/>
      </c>
      <c r="N145" s="44"/>
    </row>
    <row r="146" ht="15.75" customHeight="1">
      <c r="A146" s="68" t="str">
        <f t="shared" si="116"/>
        <v>    Mexico</v>
      </c>
      <c r="C146" s="87">
        <f t="shared" ref="C146:G146" si="123">IF(OR(C$28="",$A146=""),"",C113)</f>
        <v>0.02033021153</v>
      </c>
      <c r="D146" s="87">
        <f t="shared" si="123"/>
        <v>0.2469425287</v>
      </c>
      <c r="E146" s="87" t="str">
        <f t="shared" si="123"/>
        <v/>
      </c>
      <c r="F146" s="87" t="str">
        <f t="shared" si="123"/>
        <v/>
      </c>
      <c r="G146" s="87" t="str">
        <f t="shared" si="123"/>
        <v/>
      </c>
      <c r="H146" s="87" t="str">
        <f t="shared" ref="H146:L146" si="124">IF(OR(H$28="",$A146=""),"",OFFSET(H$73,8*(ROW(G146)-ROW(G$142)),0))</f>
        <v/>
      </c>
      <c r="I146" s="87" t="str">
        <f t="shared" si="124"/>
        <v/>
      </c>
      <c r="J146" s="87" t="str">
        <f t="shared" si="124"/>
        <v/>
      </c>
      <c r="K146" s="87" t="str">
        <f t="shared" si="124"/>
        <v/>
      </c>
      <c r="L146" s="87" t="str">
        <f t="shared" si="124"/>
        <v/>
      </c>
      <c r="N146" s="44"/>
    </row>
    <row r="147" ht="15.75" customHeight="1">
      <c r="A147" s="68" t="str">
        <f t="shared" si="116"/>
        <v>    Tribal Nations of the Lower Basin</v>
      </c>
      <c r="C147" s="87">
        <f t="shared" ref="C147:G147" si="125">IF(OR(C$28="",$A147=""),"",C123)</f>
        <v>-0.03648786575</v>
      </c>
      <c r="D147" s="87">
        <f t="shared" si="125"/>
        <v>0.09308175922</v>
      </c>
      <c r="E147" s="87" t="str">
        <f t="shared" si="125"/>
        <v/>
      </c>
      <c r="F147" s="87" t="str">
        <f t="shared" si="125"/>
        <v/>
      </c>
      <c r="G147" s="87" t="str">
        <f t="shared" si="125"/>
        <v/>
      </c>
      <c r="H147" s="87" t="str">
        <f t="shared" ref="H147:L147" si="126">IF(OR(H$28="",$A147=""),"",OFFSET(H$73,8*(ROW(G147)-ROW(G$142)),0))</f>
        <v/>
      </c>
      <c r="I147" s="87" t="str">
        <f t="shared" si="126"/>
        <v/>
      </c>
      <c r="J147" s="87" t="str">
        <f t="shared" si="126"/>
        <v/>
      </c>
      <c r="K147" s="87" t="str">
        <f t="shared" si="126"/>
        <v/>
      </c>
      <c r="L147" s="87" t="str">
        <f t="shared" si="126"/>
        <v/>
      </c>
      <c r="N147" s="44"/>
    </row>
    <row r="148" ht="15.75" customHeight="1">
      <c r="A148" s="11" t="s">
        <v>400</v>
      </c>
      <c r="C148" s="227"/>
      <c r="H148" s="87" t="str">
        <f t="shared" ref="H148:L148" si="127">IF(H$28&lt;&gt;"",SUM(H142:H147),"")</f>
        <v/>
      </c>
      <c r="I148" s="87" t="str">
        <f t="shared" si="127"/>
        <v/>
      </c>
      <c r="J148" s="87" t="str">
        <f t="shared" si="127"/>
        <v/>
      </c>
      <c r="K148" s="87" t="str">
        <f t="shared" si="127"/>
        <v/>
      </c>
      <c r="L148" s="87" t="str">
        <f t="shared" si="127"/>
        <v/>
      </c>
      <c r="N148" s="38" t="s">
        <v>401</v>
      </c>
    </row>
    <row r="149" ht="15.75" customHeight="1">
      <c r="A149" s="68" t="s">
        <v>173</v>
      </c>
      <c r="B149" s="11"/>
      <c r="C149" s="87">
        <f t="shared" ref="C149:G149" si="128">IF(C$28&lt;&gt;"",SUM(C142:C147),"")</f>
        <v>5.631532677</v>
      </c>
      <c r="D149" s="87">
        <f t="shared" si="128"/>
        <v>6.418170677</v>
      </c>
      <c r="E149" s="87" t="str">
        <f t="shared" si="128"/>
        <v/>
      </c>
      <c r="F149" s="87" t="str">
        <f t="shared" si="128"/>
        <v/>
      </c>
      <c r="G149" s="87" t="str">
        <f t="shared" si="128"/>
        <v/>
      </c>
      <c r="H149" s="87"/>
      <c r="I149" s="87"/>
      <c r="J149" s="87"/>
      <c r="K149" s="87"/>
      <c r="L149" s="87"/>
      <c r="N149" s="38"/>
    </row>
    <row r="150" ht="15.75" customHeight="1">
      <c r="A150" s="68" t="s">
        <v>180</v>
      </c>
      <c r="B150" s="11"/>
      <c r="C150" s="353">
        <f>IF(C$28&lt;&gt;"",VLOOKUP(C149*1000000,'Mead-Elevation-Area'!$B$5:$H$689,7),"")</f>
        <v>1019</v>
      </c>
      <c r="D150" s="354">
        <f>IF(D$28&lt;&gt;"",VLOOKUP(D149*1000000,'Mead-Elevation-Area'!$B$5:$H$689,7),"")</f>
        <v>1031.5</v>
      </c>
      <c r="E150" s="353" t="str">
        <f>IF(E$28&lt;&gt;"",VLOOKUP(E149*1000000,'Mead-Elevation-Area'!$B$5:$H$689,7),"")</f>
        <v/>
      </c>
      <c r="F150" s="354" t="str">
        <f>IF(F$28&lt;&gt;"",VLOOKUP(F149*1000000,'Mead-Elevation-Area'!$B$5:$H$689,7),"")</f>
        <v/>
      </c>
      <c r="G150" s="353" t="str">
        <f>IF(G$28&lt;&gt;"",VLOOKUP(G149*1000000,'Mead-Elevation-Area'!$B$5:$H$689,7),"")</f>
        <v/>
      </c>
      <c r="H150" s="87"/>
      <c r="I150" s="87"/>
      <c r="J150" s="87"/>
      <c r="K150" s="87"/>
      <c r="L150" s="87"/>
      <c r="N150" s="38"/>
    </row>
    <row r="151" ht="15.75" customHeight="1">
      <c r="A151" s="84" t="s">
        <v>402</v>
      </c>
      <c r="C151" s="227"/>
      <c r="N151" s="38" t="s">
        <v>403</v>
      </c>
    </row>
    <row r="152" ht="15.75" customHeight="1">
      <c r="C152" s="8"/>
      <c r="N152" s="8"/>
    </row>
    <row r="153" ht="15.75" customHeight="1">
      <c r="C153" s="8"/>
      <c r="D153" s="347"/>
      <c r="N153" s="8"/>
    </row>
    <row r="154" ht="15.75" customHeight="1">
      <c r="C154" s="8"/>
      <c r="N154" s="8"/>
    </row>
    <row r="155" ht="15.75" customHeight="1">
      <c r="C155" s="8"/>
      <c r="N155" s="8"/>
    </row>
    <row r="156" ht="15.75" customHeight="1">
      <c r="C156" s="8"/>
      <c r="N156" s="8"/>
    </row>
    <row r="157" ht="15.75" customHeight="1">
      <c r="C157" s="8"/>
      <c r="N157" s="8"/>
    </row>
    <row r="158" ht="15.75" customHeight="1">
      <c r="C158" s="8"/>
      <c r="N158" s="8"/>
    </row>
    <row r="159" ht="15.75" customHeight="1">
      <c r="C159" s="8"/>
      <c r="N159" s="8"/>
    </row>
    <row r="160" ht="15.75" customHeight="1">
      <c r="C160" s="8"/>
      <c r="N160" s="8"/>
    </row>
    <row r="161" ht="15.75" customHeight="1">
      <c r="C161" s="8"/>
      <c r="N161" s="8"/>
    </row>
    <row r="162" ht="15.75" customHeight="1">
      <c r="C162" s="8"/>
      <c r="N162" s="8"/>
    </row>
    <row r="163" ht="15.75" customHeight="1">
      <c r="C163" s="8"/>
      <c r="N163" s="8"/>
    </row>
    <row r="164" ht="15.75" customHeight="1">
      <c r="C164" s="8"/>
      <c r="N164" s="8"/>
    </row>
    <row r="165" ht="15.75" customHeight="1">
      <c r="C165" s="8"/>
      <c r="N165" s="8"/>
    </row>
    <row r="166" ht="15.75" customHeight="1">
      <c r="C166" s="8"/>
      <c r="N166" s="8"/>
    </row>
    <row r="167" ht="15.75" customHeight="1">
      <c r="C167" s="8"/>
      <c r="N167" s="8"/>
    </row>
    <row r="168" ht="15.75" customHeight="1">
      <c r="C168" s="8"/>
      <c r="N168" s="8"/>
    </row>
    <row r="169" ht="15.75" customHeight="1">
      <c r="C169" s="8"/>
      <c r="N169" s="8"/>
    </row>
    <row r="170" ht="15.75" customHeight="1">
      <c r="C170" s="8"/>
      <c r="N170" s="8"/>
    </row>
    <row r="171" ht="15.75" customHeight="1">
      <c r="C171" s="8"/>
      <c r="N171" s="8"/>
    </row>
    <row r="172" ht="15.75" customHeight="1">
      <c r="C172" s="8"/>
      <c r="N172" s="8"/>
    </row>
    <row r="173" ht="15.75" customHeight="1">
      <c r="C173" s="8"/>
      <c r="N173" s="8"/>
    </row>
    <row r="174" ht="15.75" customHeight="1">
      <c r="C174" s="8"/>
      <c r="N174" s="8"/>
    </row>
    <row r="175" ht="15.75" customHeight="1">
      <c r="C175" s="8"/>
      <c r="N175" s="8"/>
    </row>
    <row r="176" ht="15.75" customHeight="1">
      <c r="C176" s="8"/>
      <c r="N176" s="8"/>
    </row>
    <row r="177" ht="15.75" customHeight="1">
      <c r="C177" s="8"/>
      <c r="N177" s="8"/>
    </row>
    <row r="178" ht="15.75" customHeight="1">
      <c r="C178" s="8"/>
      <c r="N178" s="8"/>
    </row>
    <row r="179" ht="15.75" customHeight="1">
      <c r="C179" s="8"/>
      <c r="N179" s="8"/>
    </row>
    <row r="180" ht="15.75" customHeight="1">
      <c r="C180" s="8"/>
      <c r="N180" s="8"/>
    </row>
    <row r="181" ht="15.75" customHeight="1">
      <c r="C181" s="8"/>
      <c r="N181" s="8"/>
    </row>
    <row r="182" ht="15.75" customHeight="1">
      <c r="C182" s="8"/>
      <c r="N182" s="8"/>
    </row>
    <row r="183" ht="15.75" customHeight="1">
      <c r="C183" s="8"/>
      <c r="N183" s="8"/>
    </row>
    <row r="184" ht="15.75" customHeight="1">
      <c r="C184" s="8"/>
      <c r="N184" s="8"/>
    </row>
    <row r="185" ht="15.75" customHeight="1">
      <c r="C185" s="8"/>
      <c r="N185" s="8"/>
    </row>
    <row r="186" ht="15.75" customHeight="1">
      <c r="C186" s="8"/>
      <c r="N186" s="8"/>
    </row>
    <row r="187" ht="15.75" customHeight="1">
      <c r="C187" s="8"/>
      <c r="N187" s="8"/>
    </row>
    <row r="188" ht="15.75" customHeight="1">
      <c r="C188" s="8"/>
      <c r="N188" s="8"/>
    </row>
    <row r="189" ht="15.75" customHeight="1">
      <c r="C189" s="8"/>
      <c r="N189" s="8"/>
    </row>
    <row r="190" ht="15.75" customHeight="1">
      <c r="C190" s="8"/>
      <c r="N190" s="8"/>
    </row>
    <row r="191" ht="15.75" customHeight="1">
      <c r="C191" s="8"/>
      <c r="N191" s="8"/>
    </row>
    <row r="192" ht="15.75" customHeight="1">
      <c r="C192" s="8"/>
      <c r="N192" s="8"/>
    </row>
    <row r="193" ht="15.75" customHeight="1">
      <c r="C193" s="8"/>
      <c r="N193" s="8"/>
    </row>
    <row r="194" ht="15.75" customHeight="1">
      <c r="C194" s="8"/>
      <c r="N194" s="8"/>
    </row>
    <row r="195" ht="15.75" customHeight="1">
      <c r="C195" s="8"/>
      <c r="N195" s="8"/>
    </row>
    <row r="196" ht="15.75" customHeight="1">
      <c r="C196" s="8"/>
      <c r="N196" s="8"/>
    </row>
    <row r="197" ht="15.75" customHeight="1">
      <c r="C197" s="8"/>
      <c r="N197" s="8"/>
    </row>
    <row r="198" ht="15.75" customHeight="1">
      <c r="C198" s="8"/>
      <c r="N198" s="8"/>
    </row>
    <row r="199" ht="15.75" customHeight="1">
      <c r="C199" s="8"/>
      <c r="N199" s="8"/>
    </row>
    <row r="200" ht="15.75" customHeight="1">
      <c r="C200" s="8"/>
      <c r="N200" s="8"/>
    </row>
    <row r="201" ht="15.75" customHeight="1">
      <c r="C201" s="8"/>
      <c r="N201" s="8"/>
    </row>
    <row r="202" ht="15.75" customHeight="1">
      <c r="C202" s="8"/>
      <c r="N202" s="8"/>
    </row>
    <row r="203" ht="15.75" customHeight="1">
      <c r="C203" s="8"/>
      <c r="N203" s="8"/>
    </row>
    <row r="204" ht="15.75" customHeight="1">
      <c r="C204" s="8"/>
      <c r="N204" s="8"/>
    </row>
    <row r="205" ht="15.75" customHeight="1">
      <c r="C205" s="8"/>
      <c r="N205" s="8"/>
    </row>
    <row r="206" ht="15.75" customHeight="1">
      <c r="C206" s="8"/>
      <c r="N206" s="8"/>
    </row>
    <row r="207" ht="15.75" customHeight="1">
      <c r="C207" s="8"/>
      <c r="N207" s="8"/>
    </row>
    <row r="208" ht="15.75" customHeight="1">
      <c r="C208" s="8"/>
      <c r="N208" s="8"/>
    </row>
    <row r="209" ht="15.75" customHeight="1">
      <c r="C209" s="8"/>
      <c r="N209" s="8"/>
    </row>
    <row r="210" ht="15.75" customHeight="1">
      <c r="C210" s="8"/>
      <c r="N210" s="8"/>
    </row>
    <row r="211" ht="15.75" customHeight="1">
      <c r="C211" s="8"/>
      <c r="N211" s="8"/>
    </row>
    <row r="212" ht="15.75" customHeight="1">
      <c r="C212" s="8"/>
      <c r="N212" s="8"/>
    </row>
    <row r="213" ht="15.75" customHeight="1">
      <c r="C213" s="8"/>
      <c r="N213" s="8"/>
    </row>
    <row r="214" ht="15.75" customHeight="1">
      <c r="C214" s="8"/>
      <c r="N214" s="8"/>
    </row>
    <row r="215" ht="15.75" customHeight="1">
      <c r="C215" s="8"/>
      <c r="N215" s="8"/>
    </row>
    <row r="216" ht="15.75" customHeight="1">
      <c r="C216" s="8"/>
      <c r="N216" s="8"/>
    </row>
    <row r="217" ht="15.75" customHeight="1">
      <c r="C217" s="8"/>
      <c r="N217" s="8"/>
    </row>
    <row r="218" ht="15.75" customHeight="1">
      <c r="C218" s="8"/>
      <c r="N218" s="8"/>
    </row>
    <row r="219" ht="15.75" customHeight="1">
      <c r="C219" s="8"/>
      <c r="N219" s="8"/>
    </row>
    <row r="220" ht="15.75" customHeight="1">
      <c r="C220" s="8"/>
      <c r="N220" s="8"/>
    </row>
    <row r="221" ht="15.75" customHeight="1">
      <c r="C221" s="8"/>
      <c r="N221" s="8"/>
    </row>
    <row r="222" ht="15.75" customHeight="1">
      <c r="C222" s="8"/>
      <c r="N222" s="8"/>
    </row>
    <row r="223" ht="15.75" customHeight="1">
      <c r="C223" s="8"/>
      <c r="N223" s="8"/>
    </row>
    <row r="224" ht="15.75" customHeight="1">
      <c r="C224" s="8"/>
      <c r="N224" s="8"/>
    </row>
    <row r="225" ht="15.75" customHeight="1">
      <c r="C225" s="8"/>
      <c r="N225" s="8"/>
    </row>
    <row r="226" ht="15.75" customHeight="1">
      <c r="C226" s="8"/>
      <c r="N226" s="8"/>
    </row>
    <row r="227" ht="15.75" customHeight="1">
      <c r="C227" s="8"/>
      <c r="N227" s="8"/>
    </row>
    <row r="228" ht="15.75" customHeight="1">
      <c r="C228" s="8"/>
      <c r="N228" s="8"/>
    </row>
    <row r="229" ht="15.75" customHeight="1">
      <c r="C229" s="8"/>
      <c r="N229" s="8"/>
    </row>
    <row r="230" ht="15.75" customHeight="1">
      <c r="C230" s="8"/>
      <c r="N230" s="8"/>
    </row>
    <row r="231" ht="15.75" customHeight="1">
      <c r="C231" s="8"/>
      <c r="N231" s="8"/>
    </row>
    <row r="232" ht="15.75" customHeight="1">
      <c r="C232" s="8"/>
      <c r="N232" s="8"/>
    </row>
    <row r="233" ht="15.75" customHeight="1">
      <c r="C233" s="8"/>
      <c r="N233" s="8"/>
    </row>
    <row r="234" ht="15.75" customHeight="1">
      <c r="C234" s="8"/>
      <c r="N234" s="8"/>
    </row>
    <row r="235" ht="15.75" customHeight="1">
      <c r="C235" s="8"/>
      <c r="N235" s="8"/>
    </row>
    <row r="236" ht="15.75" customHeight="1">
      <c r="C236" s="8"/>
      <c r="N236" s="8"/>
    </row>
    <row r="237" ht="15.75" customHeight="1">
      <c r="C237" s="8"/>
      <c r="N237" s="8"/>
    </row>
    <row r="238" ht="15.75" customHeight="1">
      <c r="C238" s="8"/>
      <c r="N238" s="8"/>
    </row>
    <row r="239" ht="15.75" customHeight="1">
      <c r="C239" s="8"/>
      <c r="N239" s="8"/>
    </row>
    <row r="240" ht="15.75" customHeight="1">
      <c r="C240" s="8"/>
      <c r="N240" s="8"/>
    </row>
    <row r="241" ht="15.75" customHeight="1">
      <c r="C241" s="8"/>
      <c r="N241" s="8"/>
    </row>
    <row r="242" ht="15.75" customHeight="1">
      <c r="C242" s="8"/>
      <c r="N242" s="8"/>
    </row>
    <row r="243" ht="15.75" customHeight="1">
      <c r="C243" s="8"/>
      <c r="N243" s="8"/>
    </row>
    <row r="244" ht="15.75" customHeight="1">
      <c r="C244" s="8"/>
      <c r="N244" s="8"/>
    </row>
    <row r="245" ht="15.75" customHeight="1">
      <c r="C245" s="8"/>
      <c r="N245" s="8"/>
    </row>
    <row r="246" ht="15.75" customHeight="1">
      <c r="C246" s="8"/>
      <c r="N246" s="8"/>
    </row>
    <row r="247" ht="15.75" customHeight="1">
      <c r="C247" s="8"/>
      <c r="N247" s="8"/>
    </row>
    <row r="248" ht="15.75" customHeight="1">
      <c r="C248" s="8"/>
      <c r="N248" s="8"/>
    </row>
    <row r="249" ht="15.75" customHeight="1">
      <c r="C249" s="8"/>
      <c r="N249" s="8"/>
    </row>
    <row r="250" ht="15.75" customHeight="1">
      <c r="C250" s="8"/>
      <c r="N250" s="8"/>
    </row>
    <row r="251" ht="15.75" customHeight="1">
      <c r="C251" s="8"/>
      <c r="N251" s="8"/>
    </row>
    <row r="252" ht="15.75" customHeight="1">
      <c r="C252" s="8"/>
      <c r="N252" s="8"/>
    </row>
    <row r="253" ht="15.75" customHeight="1">
      <c r="C253" s="8"/>
      <c r="N253" s="8"/>
    </row>
    <row r="254" ht="15.75" customHeight="1">
      <c r="C254" s="8"/>
      <c r="N254" s="8"/>
    </row>
    <row r="255" ht="15.75" customHeight="1">
      <c r="C255" s="8"/>
      <c r="N255" s="8"/>
    </row>
    <row r="256" ht="15.75" customHeight="1">
      <c r="C256" s="8"/>
      <c r="N256" s="8"/>
    </row>
    <row r="257" ht="15.75" customHeight="1">
      <c r="C257" s="8"/>
      <c r="N257" s="8"/>
    </row>
    <row r="258" ht="15.75" customHeight="1">
      <c r="C258" s="8"/>
      <c r="N258" s="8"/>
    </row>
    <row r="259" ht="15.75" customHeight="1">
      <c r="C259" s="8"/>
      <c r="N259" s="8"/>
    </row>
    <row r="260" ht="15.75" customHeight="1">
      <c r="C260" s="8"/>
      <c r="N260" s="8"/>
    </row>
    <row r="261" ht="15.75" customHeight="1">
      <c r="C261" s="8"/>
      <c r="N261" s="8"/>
    </row>
    <row r="262" ht="15.75" customHeight="1">
      <c r="C262" s="8"/>
      <c r="N262" s="8"/>
    </row>
    <row r="263" ht="15.75" customHeight="1">
      <c r="C263" s="8"/>
      <c r="N263" s="8"/>
    </row>
    <row r="264" ht="15.75" customHeight="1">
      <c r="C264" s="8"/>
      <c r="N264" s="8"/>
    </row>
    <row r="265" ht="15.75" customHeight="1">
      <c r="C265" s="8"/>
      <c r="N265" s="8"/>
    </row>
    <row r="266" ht="15.75" customHeight="1">
      <c r="C266" s="8"/>
      <c r="N266" s="8"/>
    </row>
    <row r="267" ht="15.75" customHeight="1">
      <c r="C267" s="8"/>
      <c r="N267" s="8"/>
    </row>
    <row r="268" ht="15.75" customHeight="1">
      <c r="C268" s="8"/>
      <c r="N268" s="8"/>
    </row>
    <row r="269" ht="15.75" customHeight="1">
      <c r="C269" s="8"/>
      <c r="N269" s="8"/>
    </row>
    <row r="270" ht="15.75" customHeight="1">
      <c r="C270" s="8"/>
      <c r="N270" s="8"/>
    </row>
    <row r="271" ht="15.75" customHeight="1">
      <c r="C271" s="8"/>
      <c r="N271" s="8"/>
    </row>
    <row r="272" ht="15.75" customHeight="1">
      <c r="C272" s="8"/>
      <c r="N272" s="8"/>
    </row>
    <row r="273" ht="15.75" customHeight="1">
      <c r="C273" s="8"/>
      <c r="N273" s="8"/>
    </row>
    <row r="274" ht="15.75" customHeight="1">
      <c r="C274" s="8"/>
      <c r="N274" s="8"/>
    </row>
    <row r="275" ht="15.75" customHeight="1">
      <c r="C275" s="8"/>
      <c r="N275" s="8"/>
    </row>
    <row r="276" ht="15.75" customHeight="1">
      <c r="C276" s="8"/>
      <c r="N276" s="8"/>
    </row>
    <row r="277" ht="15.75" customHeight="1">
      <c r="C277" s="8"/>
      <c r="N277" s="8"/>
    </row>
    <row r="278" ht="15.75" customHeight="1">
      <c r="C278" s="8"/>
      <c r="N278" s="8"/>
    </row>
    <row r="279" ht="15.75" customHeight="1">
      <c r="C279" s="8"/>
      <c r="N279" s="8"/>
    </row>
    <row r="280" ht="15.75" customHeight="1">
      <c r="C280" s="8"/>
      <c r="N280" s="8"/>
    </row>
    <row r="281" ht="15.75" customHeight="1">
      <c r="C281" s="8"/>
      <c r="N281" s="8"/>
    </row>
    <row r="282" ht="15.75" customHeight="1">
      <c r="C282" s="8"/>
      <c r="N282" s="8"/>
    </row>
    <row r="283" ht="15.75" customHeight="1">
      <c r="C283" s="8"/>
      <c r="N283" s="8"/>
    </row>
    <row r="284" ht="15.75" customHeight="1">
      <c r="C284" s="8"/>
      <c r="N284" s="8"/>
    </row>
    <row r="285" ht="15.75" customHeight="1">
      <c r="C285" s="8"/>
      <c r="N285" s="8"/>
    </row>
    <row r="286" ht="15.75" customHeight="1">
      <c r="C286" s="8"/>
      <c r="N286" s="8"/>
    </row>
    <row r="287" ht="15.75" customHeight="1">
      <c r="C287" s="8"/>
      <c r="N287" s="8"/>
    </row>
    <row r="288" ht="15.75" customHeight="1">
      <c r="C288" s="8"/>
      <c r="N288" s="8"/>
    </row>
    <row r="289" ht="15.75" customHeight="1">
      <c r="C289" s="8"/>
      <c r="N289" s="8"/>
    </row>
    <row r="290" ht="15.75" customHeight="1">
      <c r="C290" s="8"/>
      <c r="N290" s="8"/>
    </row>
    <row r="291" ht="15.75" customHeight="1">
      <c r="C291" s="8"/>
      <c r="N291" s="8"/>
    </row>
    <row r="292" ht="15.75" customHeight="1">
      <c r="C292" s="8"/>
      <c r="N292" s="8"/>
    </row>
    <row r="293" ht="15.75" customHeight="1">
      <c r="C293" s="8"/>
      <c r="N293" s="8"/>
    </row>
    <row r="294" ht="15.75" customHeight="1">
      <c r="C294" s="8"/>
      <c r="N294" s="8"/>
    </row>
    <row r="295" ht="15.75" customHeight="1">
      <c r="C295" s="8"/>
      <c r="N295" s="8"/>
    </row>
    <row r="296" ht="15.75" customHeight="1">
      <c r="C296" s="8"/>
      <c r="N296" s="8"/>
    </row>
    <row r="297" ht="15.75" customHeight="1">
      <c r="C297" s="8"/>
      <c r="N297" s="8"/>
    </row>
    <row r="298" ht="15.75" customHeight="1">
      <c r="C298" s="8"/>
      <c r="N298" s="8"/>
    </row>
    <row r="299" ht="15.75" customHeight="1">
      <c r="C299" s="8"/>
      <c r="N299" s="8"/>
    </row>
    <row r="300" ht="15.75" customHeight="1">
      <c r="C300" s="8"/>
      <c r="N300" s="8"/>
    </row>
    <row r="301" ht="15.75" customHeight="1">
      <c r="C301" s="8"/>
      <c r="N301" s="8"/>
    </row>
    <row r="302" ht="15.75" customHeight="1">
      <c r="C302" s="8"/>
      <c r="N302" s="8"/>
    </row>
    <row r="303" ht="15.75" customHeight="1">
      <c r="C303" s="8"/>
      <c r="N303" s="8"/>
    </row>
    <row r="304" ht="15.75" customHeight="1">
      <c r="C304" s="8"/>
      <c r="N304" s="8"/>
    </row>
    <row r="305" ht="15.75" customHeight="1">
      <c r="C305" s="8"/>
      <c r="N305" s="8"/>
    </row>
    <row r="306" ht="15.75" customHeight="1">
      <c r="C306" s="8"/>
      <c r="N306" s="8"/>
    </row>
    <row r="307" ht="15.75" customHeight="1">
      <c r="C307" s="8"/>
      <c r="N307" s="8"/>
    </row>
    <row r="308" ht="15.75" customHeight="1">
      <c r="C308" s="8"/>
      <c r="N308" s="8"/>
    </row>
    <row r="309" ht="15.75" customHeight="1">
      <c r="C309" s="8"/>
      <c r="N309" s="8"/>
    </row>
    <row r="310" ht="15.75" customHeight="1">
      <c r="C310" s="8"/>
      <c r="N310" s="8"/>
    </row>
    <row r="311" ht="15.75" customHeight="1">
      <c r="C311" s="8"/>
      <c r="N311" s="8"/>
    </row>
    <row r="312" ht="15.75" customHeight="1">
      <c r="C312" s="8"/>
      <c r="N312" s="8"/>
    </row>
    <row r="313" ht="15.75" customHeight="1">
      <c r="C313" s="8"/>
      <c r="N313" s="8"/>
    </row>
    <row r="314" ht="15.75" customHeight="1">
      <c r="C314" s="8"/>
      <c r="N314" s="8"/>
    </row>
    <row r="315" ht="15.75" customHeight="1">
      <c r="C315" s="8"/>
      <c r="N315" s="8"/>
    </row>
    <row r="316" ht="15.75" customHeight="1">
      <c r="C316" s="8"/>
      <c r="N316" s="8"/>
    </row>
    <row r="317" ht="15.75" customHeight="1">
      <c r="C317" s="8"/>
      <c r="N317" s="8"/>
    </row>
    <row r="318" ht="15.75" customHeight="1">
      <c r="C318" s="8"/>
      <c r="N318" s="8"/>
    </row>
    <row r="319" ht="15.75" customHeight="1">
      <c r="C319" s="8"/>
      <c r="N319" s="8"/>
    </row>
    <row r="320" ht="15.75" customHeight="1">
      <c r="C320" s="8"/>
      <c r="N320" s="8"/>
    </row>
    <row r="321" ht="15.75" customHeight="1">
      <c r="C321" s="8"/>
      <c r="N321" s="8"/>
    </row>
    <row r="322" ht="15.75" customHeight="1">
      <c r="C322" s="8"/>
      <c r="N322" s="8"/>
    </row>
    <row r="323" ht="15.75" customHeight="1">
      <c r="C323" s="8"/>
      <c r="N323" s="8"/>
    </row>
    <row r="324" ht="15.75" customHeight="1">
      <c r="C324" s="8"/>
      <c r="N324" s="8"/>
    </row>
    <row r="325" ht="15.75" customHeight="1">
      <c r="C325" s="8"/>
      <c r="N325" s="8"/>
    </row>
    <row r="326" ht="15.75" customHeight="1">
      <c r="C326" s="8"/>
      <c r="N326" s="8"/>
    </row>
    <row r="327" ht="15.75" customHeight="1">
      <c r="C327" s="8"/>
      <c r="N327" s="8"/>
    </row>
    <row r="328" ht="15.75" customHeight="1">
      <c r="C328" s="8"/>
      <c r="N328" s="8"/>
    </row>
    <row r="329" ht="15.75" customHeight="1">
      <c r="C329" s="8"/>
      <c r="N329" s="8"/>
    </row>
    <row r="330" ht="15.75" customHeight="1">
      <c r="C330" s="8"/>
      <c r="N330" s="8"/>
    </row>
    <row r="331" ht="15.75" customHeight="1">
      <c r="C331" s="8"/>
      <c r="N331" s="8"/>
    </row>
    <row r="332" ht="15.75" customHeight="1">
      <c r="C332" s="8"/>
      <c r="N332" s="8"/>
    </row>
    <row r="333" ht="15.75" customHeight="1">
      <c r="C333" s="8"/>
      <c r="N333" s="8"/>
    </row>
    <row r="334" ht="15.75" customHeight="1">
      <c r="C334" s="8"/>
      <c r="N334" s="8"/>
    </row>
    <row r="335" ht="15.75" customHeight="1">
      <c r="C335" s="8"/>
      <c r="N335" s="8"/>
    </row>
    <row r="336" ht="15.75" customHeight="1">
      <c r="C336" s="8"/>
      <c r="N336" s="8"/>
    </row>
    <row r="337" ht="15.75" customHeight="1">
      <c r="C337" s="8"/>
      <c r="N337" s="8"/>
    </row>
    <row r="338" ht="15.75" customHeight="1">
      <c r="C338" s="8"/>
      <c r="N338" s="8"/>
    </row>
    <row r="339" ht="15.75" customHeight="1">
      <c r="C339" s="8"/>
      <c r="N339" s="8"/>
    </row>
    <row r="340" ht="15.75" customHeight="1">
      <c r="C340" s="8"/>
      <c r="N340" s="8"/>
    </row>
    <row r="341" ht="15.75" customHeight="1">
      <c r="C341" s="8"/>
      <c r="N341" s="8"/>
    </row>
    <row r="342" ht="15.75" customHeight="1">
      <c r="C342" s="8"/>
      <c r="N342" s="8"/>
    </row>
    <row r="343" ht="15.75" customHeight="1">
      <c r="C343" s="8"/>
      <c r="N343" s="8"/>
    </row>
    <row r="344" ht="15.75" customHeight="1">
      <c r="C344" s="8"/>
      <c r="N344" s="8"/>
    </row>
    <row r="345" ht="15.75" customHeight="1">
      <c r="C345" s="8"/>
      <c r="N345" s="8"/>
    </row>
    <row r="346" ht="15.75" customHeight="1">
      <c r="C346" s="8"/>
      <c r="N346" s="8"/>
    </row>
    <row r="347" ht="15.75" customHeight="1">
      <c r="C347" s="8"/>
      <c r="N347" s="8"/>
    </row>
    <row r="348" ht="15.75" customHeight="1">
      <c r="C348" s="8"/>
      <c r="N348" s="8"/>
    </row>
    <row r="349" ht="15.75" customHeight="1">
      <c r="C349" s="8"/>
      <c r="N349" s="8"/>
    </row>
    <row r="350" ht="15.75" customHeight="1">
      <c r="C350" s="8"/>
      <c r="N350" s="8"/>
    </row>
    <row r="351" ht="15.75" customHeight="1">
      <c r="C351" s="8"/>
      <c r="N351" s="8"/>
    </row>
    <row r="352" ht="15.75" customHeight="1">
      <c r="C352" s="8"/>
      <c r="N352" s="8"/>
    </row>
    <row r="353" ht="15.75" customHeight="1">
      <c r="C353" s="8"/>
      <c r="N353" s="8"/>
    </row>
    <row r="354" ht="15.75" customHeight="1">
      <c r="C354" s="8"/>
      <c r="N354" s="8"/>
    </row>
    <row r="355" ht="15.75" customHeight="1">
      <c r="C355" s="8"/>
      <c r="N355" s="8"/>
    </row>
    <row r="356" ht="15.75" customHeight="1">
      <c r="C356" s="8"/>
      <c r="N356" s="8"/>
    </row>
    <row r="357" ht="15.75" customHeight="1">
      <c r="C357" s="8"/>
      <c r="N357" s="8"/>
    </row>
    <row r="358" ht="15.75" customHeight="1">
      <c r="C358" s="8"/>
      <c r="N358" s="8"/>
    </row>
    <row r="359" ht="15.75" customHeight="1">
      <c r="C359" s="8"/>
      <c r="N359" s="8"/>
    </row>
    <row r="360" ht="15.75" customHeight="1">
      <c r="C360" s="8"/>
      <c r="N360" s="8"/>
    </row>
    <row r="361" ht="15.75" customHeight="1">
      <c r="C361" s="8"/>
      <c r="N361" s="8"/>
    </row>
    <row r="362" ht="15.75" customHeight="1">
      <c r="C362" s="8"/>
      <c r="N362" s="8"/>
    </row>
    <row r="363" ht="15.75" customHeight="1">
      <c r="C363" s="8"/>
      <c r="N363" s="8"/>
    </row>
    <row r="364" ht="15.75" customHeight="1">
      <c r="C364" s="8"/>
      <c r="N364" s="8"/>
    </row>
    <row r="365" ht="15.75" customHeight="1">
      <c r="C365" s="8"/>
      <c r="N365" s="8"/>
    </row>
    <row r="366" ht="15.75" customHeight="1">
      <c r="C366" s="8"/>
      <c r="N366" s="8"/>
    </row>
    <row r="367" ht="15.75" customHeight="1">
      <c r="C367" s="8"/>
      <c r="N367" s="8"/>
    </row>
    <row r="368" ht="15.75" customHeight="1">
      <c r="C368" s="8"/>
      <c r="N368" s="8"/>
    </row>
    <row r="369" ht="15.75" customHeight="1">
      <c r="C369" s="8"/>
      <c r="N369" s="8"/>
    </row>
    <row r="370" ht="15.75" customHeight="1">
      <c r="C370" s="8"/>
      <c r="N370" s="8"/>
    </row>
    <row r="371" ht="15.75" customHeight="1">
      <c r="C371" s="8"/>
      <c r="N371" s="8"/>
    </row>
    <row r="372" ht="15.75" customHeight="1">
      <c r="C372" s="8"/>
      <c r="N372" s="8"/>
    </row>
    <row r="373" ht="15.75" customHeight="1">
      <c r="C373" s="8"/>
      <c r="N373" s="8"/>
    </row>
    <row r="374" ht="15.75" customHeight="1">
      <c r="C374" s="8"/>
      <c r="N374" s="8"/>
    </row>
    <row r="375" ht="15.75" customHeight="1">
      <c r="C375" s="8"/>
      <c r="N375" s="8"/>
    </row>
    <row r="376" ht="15.75" customHeight="1">
      <c r="C376" s="8"/>
      <c r="N376" s="8"/>
    </row>
    <row r="377" ht="15.75" customHeight="1">
      <c r="C377" s="8"/>
      <c r="N377" s="8"/>
    </row>
    <row r="378" ht="15.75" customHeight="1">
      <c r="C378" s="8"/>
      <c r="N378" s="8"/>
    </row>
    <row r="379" ht="15.75" customHeight="1">
      <c r="C379" s="8"/>
      <c r="N379" s="8"/>
    </row>
    <row r="380" ht="15.75" customHeight="1">
      <c r="C380" s="8"/>
      <c r="N380" s="8"/>
    </row>
    <row r="381" ht="15.75" customHeight="1">
      <c r="C381" s="8"/>
      <c r="N381" s="8"/>
    </row>
    <row r="382" ht="15.75" customHeight="1">
      <c r="C382" s="8"/>
      <c r="N382" s="8"/>
    </row>
    <row r="383" ht="15.75" customHeight="1">
      <c r="C383" s="8"/>
      <c r="N383" s="8"/>
    </row>
    <row r="384" ht="15.75" customHeight="1">
      <c r="C384" s="8"/>
      <c r="N384" s="8"/>
    </row>
    <row r="385" ht="15.75" customHeight="1">
      <c r="C385" s="8"/>
      <c r="N385" s="8"/>
    </row>
    <row r="386" ht="15.75" customHeight="1">
      <c r="C386" s="8"/>
      <c r="N386" s="8"/>
    </row>
    <row r="387" ht="15.75" customHeight="1">
      <c r="C387" s="8"/>
      <c r="N387" s="8"/>
    </row>
    <row r="388" ht="15.75" customHeight="1">
      <c r="C388" s="8"/>
      <c r="N388" s="8"/>
    </row>
    <row r="389" ht="15.75" customHeight="1">
      <c r="C389" s="8"/>
      <c r="N389" s="8"/>
    </row>
    <row r="390" ht="15.75" customHeight="1">
      <c r="C390" s="8"/>
      <c r="N390" s="8"/>
    </row>
    <row r="391" ht="15.75" customHeight="1">
      <c r="C391" s="8"/>
      <c r="N391" s="8"/>
    </row>
    <row r="392" ht="15.75" customHeight="1">
      <c r="C392" s="8"/>
      <c r="N392" s="8"/>
    </row>
    <row r="393" ht="15.75" customHeight="1">
      <c r="C393" s="8"/>
      <c r="N393" s="8"/>
    </row>
    <row r="394" ht="15.75" customHeight="1">
      <c r="C394" s="8"/>
      <c r="N394" s="8"/>
    </row>
    <row r="395" ht="15.75" customHeight="1">
      <c r="C395" s="8"/>
      <c r="N395" s="8"/>
    </row>
    <row r="396" ht="15.75" customHeight="1">
      <c r="C396" s="8"/>
      <c r="N396" s="8"/>
    </row>
    <row r="397" ht="15.75" customHeight="1">
      <c r="C397" s="8"/>
      <c r="N397" s="8"/>
    </row>
    <row r="398" ht="15.75" customHeight="1">
      <c r="C398" s="8"/>
      <c r="N398" s="8"/>
    </row>
    <row r="399" ht="15.75" customHeight="1">
      <c r="C399" s="8"/>
      <c r="N399" s="8"/>
    </row>
    <row r="400" ht="15.75" customHeight="1">
      <c r="C400" s="8"/>
      <c r="N400" s="8"/>
    </row>
    <row r="401" ht="15.75" customHeight="1">
      <c r="C401" s="8"/>
      <c r="N401" s="8"/>
    </row>
    <row r="402" ht="15.75" customHeight="1">
      <c r="C402" s="8"/>
      <c r="N402" s="8"/>
    </row>
    <row r="403" ht="15.75" customHeight="1">
      <c r="C403" s="8"/>
      <c r="N403" s="8"/>
    </row>
    <row r="404" ht="15.75" customHeight="1">
      <c r="C404" s="8"/>
      <c r="N404" s="8"/>
    </row>
    <row r="405" ht="15.75" customHeight="1">
      <c r="C405" s="8"/>
      <c r="N405" s="8"/>
    </row>
    <row r="406" ht="15.75" customHeight="1">
      <c r="C406" s="8"/>
      <c r="N406" s="8"/>
    </row>
    <row r="407" ht="15.75" customHeight="1">
      <c r="C407" s="8"/>
      <c r="N407" s="8"/>
    </row>
    <row r="408" ht="15.75" customHeight="1">
      <c r="C408" s="8"/>
      <c r="N408" s="8"/>
    </row>
    <row r="409" ht="15.75" customHeight="1">
      <c r="C409" s="8"/>
      <c r="N409" s="8"/>
    </row>
    <row r="410" ht="15.75" customHeight="1">
      <c r="C410" s="8"/>
      <c r="N410" s="8"/>
    </row>
    <row r="411" ht="15.75" customHeight="1">
      <c r="C411" s="8"/>
      <c r="N411" s="8"/>
    </row>
    <row r="412" ht="15.75" customHeight="1">
      <c r="C412" s="8"/>
      <c r="N412" s="8"/>
    </row>
    <row r="413" ht="15.75" customHeight="1">
      <c r="C413" s="8"/>
      <c r="N413" s="8"/>
    </row>
    <row r="414" ht="15.75" customHeight="1">
      <c r="C414" s="8"/>
      <c r="N414" s="8"/>
    </row>
    <row r="415" ht="15.75" customHeight="1">
      <c r="C415" s="8"/>
      <c r="N415" s="8"/>
    </row>
    <row r="416" ht="15.75" customHeight="1">
      <c r="C416" s="8"/>
      <c r="N416" s="8"/>
    </row>
    <row r="417" ht="15.75" customHeight="1">
      <c r="C417" s="8"/>
      <c r="N417" s="8"/>
    </row>
    <row r="418" ht="15.75" customHeight="1">
      <c r="C418" s="8"/>
      <c r="N418" s="8"/>
    </row>
    <row r="419" ht="15.75" customHeight="1">
      <c r="C419" s="8"/>
      <c r="N419" s="8"/>
    </row>
    <row r="420" ht="15.75" customHeight="1">
      <c r="C420" s="8"/>
      <c r="N420" s="8"/>
    </row>
    <row r="421" ht="15.75" customHeight="1">
      <c r="C421" s="8"/>
      <c r="N421" s="8"/>
    </row>
    <row r="422" ht="15.75" customHeight="1">
      <c r="C422" s="8"/>
      <c r="N422" s="8"/>
    </row>
    <row r="423" ht="15.75" customHeight="1">
      <c r="C423" s="8"/>
      <c r="N423" s="8"/>
    </row>
    <row r="424" ht="15.75" customHeight="1">
      <c r="C424" s="8"/>
      <c r="N424" s="8"/>
    </row>
    <row r="425" ht="15.75" customHeight="1">
      <c r="C425" s="8"/>
      <c r="N425" s="8"/>
    </row>
    <row r="426" ht="15.75" customHeight="1">
      <c r="C426" s="8"/>
      <c r="N426" s="8"/>
    </row>
    <row r="427" ht="15.75" customHeight="1">
      <c r="C427" s="8"/>
      <c r="N427" s="8"/>
    </row>
    <row r="428" ht="15.75" customHeight="1">
      <c r="C428" s="8"/>
      <c r="N428" s="8"/>
    </row>
    <row r="429" ht="15.75" customHeight="1">
      <c r="C429" s="8"/>
      <c r="N429" s="8"/>
    </row>
    <row r="430" ht="15.75" customHeight="1">
      <c r="C430" s="8"/>
      <c r="N430" s="8"/>
    </row>
    <row r="431" ht="15.75" customHeight="1">
      <c r="C431" s="8"/>
      <c r="N431" s="8"/>
    </row>
    <row r="432" ht="15.75" customHeight="1">
      <c r="C432" s="8"/>
      <c r="N432" s="8"/>
    </row>
    <row r="433" ht="15.75" customHeight="1">
      <c r="C433" s="8"/>
      <c r="N433" s="8"/>
    </row>
    <row r="434" ht="15.75" customHeight="1">
      <c r="C434" s="8"/>
      <c r="N434" s="8"/>
    </row>
    <row r="435" ht="15.75" customHeight="1">
      <c r="C435" s="8"/>
      <c r="N435" s="8"/>
    </row>
    <row r="436" ht="15.75" customHeight="1">
      <c r="C436" s="8"/>
      <c r="N436" s="8"/>
    </row>
    <row r="437" ht="15.75" customHeight="1">
      <c r="C437" s="8"/>
      <c r="N437" s="8"/>
    </row>
    <row r="438" ht="15.75" customHeight="1">
      <c r="C438" s="8"/>
      <c r="N438" s="8"/>
    </row>
    <row r="439" ht="15.75" customHeight="1">
      <c r="C439" s="8"/>
      <c r="N439" s="8"/>
    </row>
    <row r="440" ht="15.75" customHeight="1">
      <c r="C440" s="8"/>
      <c r="N440" s="8"/>
    </row>
    <row r="441" ht="15.75" customHeight="1">
      <c r="C441" s="8"/>
      <c r="N441" s="8"/>
    </row>
    <row r="442" ht="15.75" customHeight="1">
      <c r="C442" s="8"/>
      <c r="N442" s="8"/>
    </row>
    <row r="443" ht="15.75" customHeight="1">
      <c r="C443" s="8"/>
      <c r="N443" s="8"/>
    </row>
    <row r="444" ht="15.75" customHeight="1">
      <c r="C444" s="8"/>
      <c r="N444" s="8"/>
    </row>
    <row r="445" ht="15.75" customHeight="1">
      <c r="C445" s="8"/>
      <c r="N445" s="8"/>
    </row>
    <row r="446" ht="15.75" customHeight="1">
      <c r="C446" s="8"/>
      <c r="N446" s="8"/>
    </row>
    <row r="447" ht="15.75" customHeight="1">
      <c r="C447" s="8"/>
      <c r="N447" s="8"/>
    </row>
    <row r="448" ht="15.75" customHeight="1">
      <c r="C448" s="8"/>
      <c r="N448" s="8"/>
    </row>
    <row r="449" ht="15.75" customHeight="1">
      <c r="C449" s="8"/>
      <c r="N449" s="8"/>
    </row>
    <row r="450" ht="15.75" customHeight="1">
      <c r="C450" s="8"/>
      <c r="N450" s="8"/>
    </row>
    <row r="451" ht="15.75" customHeight="1">
      <c r="C451" s="8"/>
      <c r="N451" s="8"/>
    </row>
    <row r="452" ht="15.75" customHeight="1">
      <c r="C452" s="8"/>
      <c r="N452" s="8"/>
    </row>
    <row r="453" ht="15.75" customHeight="1">
      <c r="C453" s="8"/>
      <c r="N453" s="8"/>
    </row>
    <row r="454" ht="15.75" customHeight="1">
      <c r="C454" s="8"/>
      <c r="N454" s="8"/>
    </row>
    <row r="455" ht="15.75" customHeight="1">
      <c r="C455" s="8"/>
      <c r="N455" s="8"/>
    </row>
    <row r="456" ht="15.75" customHeight="1">
      <c r="C456" s="8"/>
      <c r="N456" s="8"/>
    </row>
    <row r="457" ht="15.75" customHeight="1">
      <c r="C457" s="8"/>
      <c r="N457" s="8"/>
    </row>
    <row r="458" ht="15.75" customHeight="1">
      <c r="C458" s="8"/>
      <c r="N458" s="8"/>
    </row>
    <row r="459" ht="15.75" customHeight="1">
      <c r="C459" s="8"/>
      <c r="N459" s="8"/>
    </row>
    <row r="460" ht="15.75" customHeight="1">
      <c r="C460" s="8"/>
      <c r="N460" s="8"/>
    </row>
    <row r="461" ht="15.75" customHeight="1">
      <c r="C461" s="8"/>
      <c r="N461" s="8"/>
    </row>
    <row r="462" ht="15.75" customHeight="1">
      <c r="C462" s="8"/>
      <c r="N462" s="8"/>
    </row>
    <row r="463" ht="15.75" customHeight="1">
      <c r="C463" s="8"/>
      <c r="N463" s="8"/>
    </row>
    <row r="464" ht="15.75" customHeight="1">
      <c r="C464" s="8"/>
      <c r="N464" s="8"/>
    </row>
    <row r="465" ht="15.75" customHeight="1">
      <c r="C465" s="8"/>
      <c r="N465" s="8"/>
    </row>
    <row r="466" ht="15.75" customHeight="1">
      <c r="C466" s="8"/>
      <c r="N466" s="8"/>
    </row>
    <row r="467" ht="15.75" customHeight="1">
      <c r="C467" s="8"/>
      <c r="N467" s="8"/>
    </row>
    <row r="468" ht="15.75" customHeight="1">
      <c r="C468" s="8"/>
      <c r="N468" s="8"/>
    </row>
    <row r="469" ht="15.75" customHeight="1">
      <c r="C469" s="8"/>
      <c r="N469" s="8"/>
    </row>
    <row r="470" ht="15.75" customHeight="1">
      <c r="C470" s="8"/>
      <c r="N470" s="8"/>
    </row>
    <row r="471" ht="15.75" customHeight="1">
      <c r="C471" s="8"/>
      <c r="N471" s="8"/>
    </row>
    <row r="472" ht="15.75" customHeight="1">
      <c r="C472" s="8"/>
      <c r="N472" s="8"/>
    </row>
    <row r="473" ht="15.75" customHeight="1">
      <c r="C473" s="8"/>
      <c r="N473" s="8"/>
    </row>
    <row r="474" ht="15.75" customHeight="1">
      <c r="C474" s="8"/>
      <c r="N474" s="8"/>
    </row>
    <row r="475" ht="15.75" customHeight="1">
      <c r="C475" s="8"/>
      <c r="N475" s="8"/>
    </row>
    <row r="476" ht="15.75" customHeight="1">
      <c r="C476" s="8"/>
      <c r="N476" s="8"/>
    </row>
    <row r="477" ht="15.75" customHeight="1">
      <c r="C477" s="8"/>
      <c r="N477" s="8"/>
    </row>
    <row r="478" ht="15.75" customHeight="1">
      <c r="C478" s="8"/>
      <c r="N478" s="8"/>
    </row>
    <row r="479" ht="15.75" customHeight="1">
      <c r="C479" s="8"/>
      <c r="N479" s="8"/>
    </row>
    <row r="480" ht="15.75" customHeight="1">
      <c r="C480" s="8"/>
      <c r="N480" s="8"/>
    </row>
    <row r="481" ht="15.75" customHeight="1">
      <c r="C481" s="8"/>
      <c r="N481" s="8"/>
    </row>
    <row r="482" ht="15.75" customHeight="1">
      <c r="C482" s="8"/>
      <c r="N482" s="8"/>
    </row>
    <row r="483" ht="15.75" customHeight="1">
      <c r="C483" s="8"/>
      <c r="N483" s="8"/>
    </row>
    <row r="484" ht="15.75" customHeight="1">
      <c r="C484" s="8"/>
      <c r="N484" s="8"/>
    </row>
    <row r="485" ht="15.75" customHeight="1">
      <c r="C485" s="8"/>
      <c r="N485" s="8"/>
    </row>
    <row r="486" ht="15.75" customHeight="1">
      <c r="C486" s="8"/>
      <c r="N486" s="8"/>
    </row>
    <row r="487" ht="15.75" customHeight="1">
      <c r="C487" s="8"/>
      <c r="N487" s="8"/>
    </row>
    <row r="488" ht="15.75" customHeight="1">
      <c r="C488" s="8"/>
      <c r="N488" s="8"/>
    </row>
    <row r="489" ht="15.75" customHeight="1">
      <c r="C489" s="8"/>
      <c r="N489" s="8"/>
    </row>
    <row r="490" ht="15.75" customHeight="1">
      <c r="C490" s="8"/>
      <c r="N490" s="8"/>
    </row>
    <row r="491" ht="15.75" customHeight="1">
      <c r="C491" s="8"/>
      <c r="N491" s="8"/>
    </row>
    <row r="492" ht="15.75" customHeight="1">
      <c r="C492" s="8"/>
      <c r="N492" s="8"/>
    </row>
    <row r="493" ht="15.75" customHeight="1">
      <c r="C493" s="8"/>
      <c r="N493" s="8"/>
    </row>
    <row r="494" ht="15.75" customHeight="1">
      <c r="C494" s="8"/>
      <c r="N494" s="8"/>
    </row>
    <row r="495" ht="15.75" customHeight="1">
      <c r="C495" s="8"/>
      <c r="N495" s="8"/>
    </row>
    <row r="496" ht="15.75" customHeight="1">
      <c r="C496" s="8"/>
      <c r="N496" s="8"/>
    </row>
    <row r="497" ht="15.75" customHeight="1">
      <c r="C497" s="8"/>
      <c r="N497" s="8"/>
    </row>
    <row r="498" ht="15.75" customHeight="1">
      <c r="C498" s="8"/>
      <c r="N498" s="8"/>
    </row>
    <row r="499" ht="15.75" customHeight="1">
      <c r="C499" s="8"/>
      <c r="N499" s="8"/>
    </row>
    <row r="500" ht="15.75" customHeight="1">
      <c r="C500" s="8"/>
      <c r="N500" s="8"/>
    </row>
    <row r="501" ht="15.75" customHeight="1">
      <c r="C501" s="8"/>
      <c r="N501" s="8"/>
    </row>
    <row r="502" ht="15.75" customHeight="1">
      <c r="C502" s="8"/>
      <c r="N502" s="8"/>
    </row>
    <row r="503" ht="15.75" customHeight="1">
      <c r="C503" s="8"/>
      <c r="N503" s="8"/>
    </row>
    <row r="504" ht="15.75" customHeight="1">
      <c r="C504" s="8"/>
      <c r="N504" s="8"/>
    </row>
    <row r="505" ht="15.75" customHeight="1">
      <c r="C505" s="8"/>
      <c r="N505" s="8"/>
    </row>
    <row r="506" ht="15.75" customHeight="1">
      <c r="C506" s="8"/>
      <c r="N506" s="8"/>
    </row>
    <row r="507" ht="15.75" customHeight="1">
      <c r="C507" s="8"/>
      <c r="N507" s="8"/>
    </row>
    <row r="508" ht="15.75" customHeight="1">
      <c r="C508" s="8"/>
      <c r="N508" s="8"/>
    </row>
    <row r="509" ht="15.75" customHeight="1">
      <c r="C509" s="8"/>
      <c r="N509" s="8"/>
    </row>
    <row r="510" ht="15.75" customHeight="1">
      <c r="C510" s="8"/>
      <c r="N510" s="8"/>
    </row>
    <row r="511" ht="15.75" customHeight="1">
      <c r="C511" s="8"/>
      <c r="N511" s="8"/>
    </row>
    <row r="512" ht="15.75" customHeight="1">
      <c r="C512" s="8"/>
      <c r="N512" s="8"/>
    </row>
    <row r="513" ht="15.75" customHeight="1">
      <c r="C513" s="8"/>
      <c r="N513" s="8"/>
    </row>
    <row r="514" ht="15.75" customHeight="1">
      <c r="C514" s="8"/>
      <c r="N514" s="8"/>
    </row>
    <row r="515" ht="15.75" customHeight="1">
      <c r="C515" s="8"/>
      <c r="N515" s="8"/>
    </row>
    <row r="516" ht="15.75" customHeight="1">
      <c r="C516" s="8"/>
      <c r="N516" s="8"/>
    </row>
    <row r="517" ht="15.75" customHeight="1">
      <c r="C517" s="8"/>
      <c r="N517" s="8"/>
    </row>
    <row r="518" ht="15.75" customHeight="1">
      <c r="C518" s="8"/>
      <c r="N518" s="8"/>
    </row>
    <row r="519" ht="15.75" customHeight="1">
      <c r="C519" s="8"/>
      <c r="N519" s="8"/>
    </row>
    <row r="520" ht="15.75" customHeight="1">
      <c r="C520" s="8"/>
      <c r="N520" s="8"/>
    </row>
    <row r="521" ht="15.75" customHeight="1">
      <c r="C521" s="8"/>
      <c r="N521" s="8"/>
    </row>
    <row r="522" ht="15.75" customHeight="1">
      <c r="C522" s="8"/>
      <c r="N522" s="8"/>
    </row>
    <row r="523" ht="15.75" customHeight="1">
      <c r="C523" s="8"/>
      <c r="N523" s="8"/>
    </row>
    <row r="524" ht="15.75" customHeight="1">
      <c r="C524" s="8"/>
      <c r="N524" s="8"/>
    </row>
    <row r="525" ht="15.75" customHeight="1">
      <c r="C525" s="8"/>
      <c r="N525" s="8"/>
    </row>
    <row r="526" ht="15.75" customHeight="1">
      <c r="C526" s="8"/>
      <c r="N526" s="8"/>
    </row>
    <row r="527" ht="15.75" customHeight="1">
      <c r="C527" s="8"/>
      <c r="N527" s="8"/>
    </row>
    <row r="528" ht="15.75" customHeight="1">
      <c r="C528" s="8"/>
      <c r="N528" s="8"/>
    </row>
    <row r="529" ht="15.75" customHeight="1">
      <c r="C529" s="8"/>
      <c r="N529" s="8"/>
    </row>
    <row r="530" ht="15.75" customHeight="1">
      <c r="C530" s="8"/>
      <c r="N530" s="8"/>
    </row>
    <row r="531" ht="15.75" customHeight="1">
      <c r="C531" s="8"/>
      <c r="N531" s="8"/>
    </row>
    <row r="532" ht="15.75" customHeight="1">
      <c r="C532" s="8"/>
      <c r="N532" s="8"/>
    </row>
    <row r="533" ht="15.75" customHeight="1">
      <c r="C533" s="8"/>
      <c r="N533" s="8"/>
    </row>
    <row r="534" ht="15.75" customHeight="1">
      <c r="C534" s="8"/>
      <c r="N534" s="8"/>
    </row>
    <row r="535" ht="15.75" customHeight="1">
      <c r="C535" s="8"/>
      <c r="N535" s="8"/>
    </row>
    <row r="536" ht="15.75" customHeight="1">
      <c r="C536" s="8"/>
      <c r="N536" s="8"/>
    </row>
    <row r="537" ht="15.75" customHeight="1">
      <c r="C537" s="8"/>
      <c r="N537" s="8"/>
    </row>
    <row r="538" ht="15.75" customHeight="1">
      <c r="C538" s="8"/>
      <c r="N538" s="8"/>
    </row>
    <row r="539" ht="15.75" customHeight="1">
      <c r="C539" s="8"/>
      <c r="N539" s="8"/>
    </row>
    <row r="540" ht="15.75" customHeight="1">
      <c r="C540" s="8"/>
      <c r="N540" s="8"/>
    </row>
    <row r="541" ht="15.75" customHeight="1">
      <c r="C541" s="8"/>
      <c r="N541" s="8"/>
    </row>
    <row r="542" ht="15.75" customHeight="1">
      <c r="C542" s="8"/>
      <c r="N542" s="8"/>
    </row>
    <row r="543" ht="15.75" customHeight="1">
      <c r="C543" s="8"/>
      <c r="N543" s="8"/>
    </row>
    <row r="544" ht="15.75" customHeight="1">
      <c r="C544" s="8"/>
      <c r="N544" s="8"/>
    </row>
    <row r="545" ht="15.75" customHeight="1">
      <c r="C545" s="8"/>
      <c r="N545" s="8"/>
    </row>
    <row r="546" ht="15.75" customHeight="1">
      <c r="C546" s="8"/>
      <c r="N546" s="8"/>
    </row>
    <row r="547" ht="15.75" customHeight="1">
      <c r="C547" s="8"/>
      <c r="N547" s="8"/>
    </row>
    <row r="548" ht="15.75" customHeight="1">
      <c r="C548" s="8"/>
      <c r="N548" s="8"/>
    </row>
    <row r="549" ht="15.75" customHeight="1">
      <c r="C549" s="8"/>
      <c r="N549" s="8"/>
    </row>
    <row r="550" ht="15.75" customHeight="1">
      <c r="C550" s="8"/>
      <c r="N550" s="8"/>
    </row>
    <row r="551" ht="15.75" customHeight="1">
      <c r="C551" s="8"/>
      <c r="N551" s="8"/>
    </row>
    <row r="552" ht="15.75" customHeight="1">
      <c r="C552" s="8"/>
      <c r="N552" s="8"/>
    </row>
    <row r="553" ht="15.75" customHeight="1">
      <c r="C553" s="8"/>
      <c r="N553" s="8"/>
    </row>
    <row r="554" ht="15.75" customHeight="1">
      <c r="C554" s="8"/>
      <c r="N554" s="8"/>
    </row>
    <row r="555" ht="15.75" customHeight="1">
      <c r="C555" s="8"/>
      <c r="N555" s="8"/>
    </row>
    <row r="556" ht="15.75" customHeight="1">
      <c r="C556" s="8"/>
      <c r="N556" s="8"/>
    </row>
    <row r="557" ht="15.75" customHeight="1">
      <c r="C557" s="8"/>
      <c r="N557" s="8"/>
    </row>
    <row r="558" ht="15.75" customHeight="1">
      <c r="C558" s="8"/>
      <c r="N558" s="8"/>
    </row>
    <row r="559" ht="15.75" customHeight="1">
      <c r="C559" s="8"/>
      <c r="N559" s="8"/>
    </row>
    <row r="560" ht="15.75" customHeight="1">
      <c r="C560" s="8"/>
      <c r="N560" s="8"/>
    </row>
    <row r="561" ht="15.75" customHeight="1">
      <c r="C561" s="8"/>
      <c r="N561" s="8"/>
    </row>
    <row r="562" ht="15.75" customHeight="1">
      <c r="C562" s="8"/>
      <c r="N562" s="8"/>
    </row>
    <row r="563" ht="15.75" customHeight="1">
      <c r="C563" s="8"/>
      <c r="N563" s="8"/>
    </row>
    <row r="564" ht="15.75" customHeight="1">
      <c r="C564" s="8"/>
      <c r="N564" s="8"/>
    </row>
    <row r="565" ht="15.75" customHeight="1">
      <c r="C565" s="8"/>
      <c r="N565" s="8"/>
    </row>
    <row r="566" ht="15.75" customHeight="1">
      <c r="C566" s="8"/>
      <c r="N566" s="8"/>
    </row>
    <row r="567" ht="15.75" customHeight="1">
      <c r="C567" s="8"/>
      <c r="N567" s="8"/>
    </row>
    <row r="568" ht="15.75" customHeight="1">
      <c r="C568" s="8"/>
      <c r="N568" s="8"/>
    </row>
    <row r="569" ht="15.75" customHeight="1">
      <c r="C569" s="8"/>
      <c r="N569" s="8"/>
    </row>
    <row r="570" ht="15.75" customHeight="1">
      <c r="C570" s="8"/>
      <c r="N570" s="8"/>
    </row>
    <row r="571" ht="15.75" customHeight="1">
      <c r="C571" s="8"/>
      <c r="N571" s="8"/>
    </row>
    <row r="572" ht="15.75" customHeight="1">
      <c r="C572" s="8"/>
      <c r="N572" s="8"/>
    </row>
    <row r="573" ht="15.75" customHeight="1">
      <c r="C573" s="8"/>
      <c r="N573" s="8"/>
    </row>
    <row r="574" ht="15.75" customHeight="1">
      <c r="C574" s="8"/>
      <c r="N574" s="8"/>
    </row>
    <row r="575" ht="15.75" customHeight="1">
      <c r="C575" s="8"/>
      <c r="N575" s="8"/>
    </row>
    <row r="576" ht="15.75" customHeight="1">
      <c r="C576" s="8"/>
      <c r="N576" s="8"/>
    </row>
    <row r="577" ht="15.75" customHeight="1">
      <c r="C577" s="8"/>
      <c r="N577" s="8"/>
    </row>
    <row r="578" ht="15.75" customHeight="1">
      <c r="C578" s="8"/>
      <c r="N578" s="8"/>
    </row>
    <row r="579" ht="15.75" customHeight="1">
      <c r="C579" s="8"/>
      <c r="N579" s="8"/>
    </row>
    <row r="580" ht="15.75" customHeight="1">
      <c r="C580" s="8"/>
      <c r="N580" s="8"/>
    </row>
    <row r="581" ht="15.75" customHeight="1">
      <c r="C581" s="8"/>
      <c r="N581" s="8"/>
    </row>
    <row r="582" ht="15.75" customHeight="1">
      <c r="C582" s="8"/>
      <c r="N582" s="8"/>
    </row>
    <row r="583" ht="15.75" customHeight="1">
      <c r="C583" s="8"/>
      <c r="N583" s="8"/>
    </row>
    <row r="584" ht="15.75" customHeight="1">
      <c r="C584" s="8"/>
      <c r="N584" s="8"/>
    </row>
    <row r="585" ht="15.75" customHeight="1">
      <c r="C585" s="8"/>
      <c r="N585" s="8"/>
    </row>
    <row r="586" ht="15.75" customHeight="1">
      <c r="C586" s="8"/>
      <c r="N586" s="8"/>
    </row>
    <row r="587" ht="15.75" customHeight="1">
      <c r="C587" s="8"/>
      <c r="N587" s="8"/>
    </row>
    <row r="588" ht="15.75" customHeight="1">
      <c r="C588" s="8"/>
      <c r="N588" s="8"/>
    </row>
    <row r="589" ht="15.75" customHeight="1">
      <c r="C589" s="8"/>
      <c r="N589" s="8"/>
    </row>
    <row r="590" ht="15.75" customHeight="1">
      <c r="C590" s="8"/>
      <c r="N590" s="8"/>
    </row>
    <row r="591" ht="15.75" customHeight="1">
      <c r="C591" s="8"/>
      <c r="N591" s="8"/>
    </row>
    <row r="592" ht="15.75" customHeight="1">
      <c r="C592" s="8"/>
      <c r="N592" s="8"/>
    </row>
    <row r="593" ht="15.75" customHeight="1">
      <c r="C593" s="8"/>
      <c r="N593" s="8"/>
    </row>
    <row r="594" ht="15.75" customHeight="1">
      <c r="C594" s="8"/>
      <c r="N594" s="8"/>
    </row>
    <row r="595" ht="15.75" customHeight="1">
      <c r="C595" s="8"/>
      <c r="N595" s="8"/>
    </row>
    <row r="596" ht="15.75" customHeight="1">
      <c r="C596" s="8"/>
      <c r="N596" s="8"/>
    </row>
    <row r="597" ht="15.75" customHeight="1">
      <c r="C597" s="8"/>
      <c r="N597" s="8"/>
    </row>
    <row r="598" ht="15.75" customHeight="1">
      <c r="C598" s="8"/>
      <c r="N598" s="8"/>
    </row>
    <row r="599" ht="15.75" customHeight="1">
      <c r="C599" s="8"/>
      <c r="N599" s="8"/>
    </row>
    <row r="600" ht="15.75" customHeight="1">
      <c r="C600" s="8"/>
      <c r="N600" s="8"/>
    </row>
    <row r="601" ht="15.75" customHeight="1">
      <c r="C601" s="8"/>
      <c r="N601" s="8"/>
    </row>
    <row r="602" ht="15.75" customHeight="1">
      <c r="C602" s="8"/>
      <c r="N602" s="8"/>
    </row>
    <row r="603" ht="15.75" customHeight="1">
      <c r="C603" s="8"/>
      <c r="N603" s="8"/>
    </row>
    <row r="604" ht="15.75" customHeight="1">
      <c r="C604" s="8"/>
      <c r="N604" s="8"/>
    </row>
    <row r="605" ht="15.75" customHeight="1">
      <c r="C605" s="8"/>
      <c r="N605" s="8"/>
    </row>
    <row r="606" ht="15.75" customHeight="1">
      <c r="C606" s="8"/>
      <c r="N606" s="8"/>
    </row>
    <row r="607" ht="15.75" customHeight="1">
      <c r="C607" s="8"/>
      <c r="N607" s="8"/>
    </row>
    <row r="608" ht="15.75" customHeight="1">
      <c r="C608" s="8"/>
      <c r="N608" s="8"/>
    </row>
    <row r="609" ht="15.75" customHeight="1">
      <c r="C609" s="8"/>
      <c r="N609" s="8"/>
    </row>
    <row r="610" ht="15.75" customHeight="1">
      <c r="C610" s="8"/>
      <c r="N610" s="8"/>
    </row>
    <row r="611" ht="15.75" customHeight="1">
      <c r="C611" s="8"/>
      <c r="N611" s="8"/>
    </row>
    <row r="612" ht="15.75" customHeight="1">
      <c r="C612" s="8"/>
      <c r="N612" s="8"/>
    </row>
    <row r="613" ht="15.75" customHeight="1">
      <c r="C613" s="8"/>
      <c r="N613" s="8"/>
    </row>
    <row r="614" ht="15.75" customHeight="1">
      <c r="C614" s="8"/>
      <c r="N614" s="8"/>
    </row>
    <row r="615" ht="15.75" customHeight="1">
      <c r="C615" s="8"/>
      <c r="N615" s="8"/>
    </row>
    <row r="616" ht="15.75" customHeight="1">
      <c r="C616" s="8"/>
      <c r="N616" s="8"/>
    </row>
    <row r="617" ht="15.75" customHeight="1">
      <c r="C617" s="8"/>
      <c r="N617" s="8"/>
    </row>
    <row r="618" ht="15.75" customHeight="1">
      <c r="C618" s="8"/>
      <c r="N618" s="8"/>
    </row>
    <row r="619" ht="15.75" customHeight="1">
      <c r="C619" s="8"/>
      <c r="N619" s="8"/>
    </row>
    <row r="620" ht="15.75" customHeight="1">
      <c r="C620" s="8"/>
      <c r="N620" s="8"/>
    </row>
    <row r="621" ht="15.75" customHeight="1">
      <c r="C621" s="8"/>
      <c r="N621" s="8"/>
    </row>
    <row r="622" ht="15.75" customHeight="1">
      <c r="C622" s="8"/>
      <c r="N622" s="8"/>
    </row>
    <row r="623" ht="15.75" customHeight="1">
      <c r="C623" s="8"/>
      <c r="N623" s="8"/>
    </row>
    <row r="624" ht="15.75" customHeight="1">
      <c r="C624" s="8"/>
      <c r="N624" s="8"/>
    </row>
    <row r="625" ht="15.75" customHeight="1">
      <c r="C625" s="8"/>
      <c r="N625" s="8"/>
    </row>
    <row r="626" ht="15.75" customHeight="1">
      <c r="C626" s="8"/>
      <c r="N626" s="8"/>
    </row>
    <row r="627" ht="15.75" customHeight="1">
      <c r="C627" s="8"/>
      <c r="N627" s="8"/>
    </row>
    <row r="628" ht="15.75" customHeight="1">
      <c r="C628" s="8"/>
      <c r="N628" s="8"/>
    </row>
    <row r="629" ht="15.75" customHeight="1">
      <c r="C629" s="8"/>
      <c r="N629" s="8"/>
    </row>
    <row r="630" ht="15.75" customHeight="1">
      <c r="C630" s="8"/>
      <c r="N630" s="8"/>
    </row>
    <row r="631" ht="15.75" customHeight="1">
      <c r="C631" s="8"/>
      <c r="N631" s="8"/>
    </row>
    <row r="632" ht="15.75" customHeight="1">
      <c r="C632" s="8"/>
      <c r="N632" s="8"/>
    </row>
    <row r="633" ht="15.75" customHeight="1">
      <c r="C633" s="8"/>
      <c r="N633" s="8"/>
    </row>
    <row r="634" ht="15.75" customHeight="1">
      <c r="C634" s="8"/>
      <c r="N634" s="8"/>
    </row>
    <row r="635" ht="15.75" customHeight="1">
      <c r="C635" s="8"/>
      <c r="N635" s="8"/>
    </row>
    <row r="636" ht="15.75" customHeight="1">
      <c r="C636" s="8"/>
      <c r="N636" s="8"/>
    </row>
    <row r="637" ht="15.75" customHeight="1">
      <c r="C637" s="8"/>
      <c r="N637" s="8"/>
    </row>
    <row r="638" ht="15.75" customHeight="1">
      <c r="C638" s="8"/>
      <c r="N638" s="8"/>
    </row>
    <row r="639" ht="15.75" customHeight="1">
      <c r="C639" s="8"/>
      <c r="N639" s="8"/>
    </row>
    <row r="640" ht="15.75" customHeight="1">
      <c r="C640" s="8"/>
      <c r="N640" s="8"/>
    </row>
    <row r="641" ht="15.75" customHeight="1">
      <c r="C641" s="8"/>
      <c r="N641" s="8"/>
    </row>
    <row r="642" ht="15.75" customHeight="1">
      <c r="C642" s="8"/>
      <c r="N642" s="8"/>
    </row>
    <row r="643" ht="15.75" customHeight="1">
      <c r="C643" s="8"/>
      <c r="N643" s="8"/>
    </row>
    <row r="644" ht="15.75" customHeight="1">
      <c r="C644" s="8"/>
      <c r="N644" s="8"/>
    </row>
    <row r="645" ht="15.75" customHeight="1">
      <c r="C645" s="8"/>
      <c r="N645" s="8"/>
    </row>
    <row r="646" ht="15.75" customHeight="1">
      <c r="C646" s="8"/>
      <c r="N646" s="8"/>
    </row>
    <row r="647" ht="15.75" customHeight="1">
      <c r="C647" s="8"/>
      <c r="N647" s="8"/>
    </row>
    <row r="648" ht="15.75" customHeight="1">
      <c r="C648" s="8"/>
      <c r="N648" s="8"/>
    </row>
    <row r="649" ht="15.75" customHeight="1">
      <c r="C649" s="8"/>
      <c r="N649" s="8"/>
    </row>
    <row r="650" ht="15.75" customHeight="1">
      <c r="C650" s="8"/>
      <c r="N650" s="8"/>
    </row>
    <row r="651" ht="15.75" customHeight="1">
      <c r="C651" s="8"/>
      <c r="N651" s="8"/>
    </row>
    <row r="652" ht="15.75" customHeight="1">
      <c r="C652" s="8"/>
      <c r="N652" s="8"/>
    </row>
    <row r="653" ht="15.75" customHeight="1">
      <c r="C653" s="8"/>
      <c r="N653" s="8"/>
    </row>
    <row r="654" ht="15.75" customHeight="1">
      <c r="C654" s="8"/>
      <c r="N654" s="8"/>
    </row>
    <row r="655" ht="15.75" customHeight="1">
      <c r="C655" s="8"/>
      <c r="N655" s="8"/>
    </row>
    <row r="656" ht="15.75" customHeight="1">
      <c r="C656" s="8"/>
      <c r="N656" s="8"/>
    </row>
    <row r="657" ht="15.75" customHeight="1">
      <c r="C657" s="8"/>
      <c r="N657" s="8"/>
    </row>
    <row r="658" ht="15.75" customHeight="1">
      <c r="C658" s="8"/>
      <c r="N658" s="8"/>
    </row>
    <row r="659" ht="15.75" customHeight="1">
      <c r="C659" s="8"/>
      <c r="N659" s="8"/>
    </row>
    <row r="660" ht="15.75" customHeight="1">
      <c r="C660" s="8"/>
      <c r="N660" s="8"/>
    </row>
    <row r="661" ht="15.75" customHeight="1">
      <c r="C661" s="8"/>
      <c r="N661" s="8"/>
    </row>
    <row r="662" ht="15.75" customHeight="1">
      <c r="C662" s="8"/>
      <c r="N662" s="8"/>
    </row>
    <row r="663" ht="15.75" customHeight="1">
      <c r="C663" s="8"/>
      <c r="N663" s="8"/>
    </row>
    <row r="664" ht="15.75" customHeight="1">
      <c r="C664" s="8"/>
      <c r="N664" s="8"/>
    </row>
    <row r="665" ht="15.75" customHeight="1">
      <c r="C665" s="8"/>
      <c r="N665" s="8"/>
    </row>
    <row r="666" ht="15.75" customHeight="1">
      <c r="C666" s="8"/>
      <c r="N666" s="8"/>
    </row>
    <row r="667" ht="15.75" customHeight="1">
      <c r="C667" s="8"/>
      <c r="N667" s="8"/>
    </row>
    <row r="668" ht="15.75" customHeight="1">
      <c r="C668" s="8"/>
      <c r="N668" s="8"/>
    </row>
    <row r="669" ht="15.75" customHeight="1">
      <c r="C669" s="8"/>
      <c r="N669" s="8"/>
    </row>
    <row r="670" ht="15.75" customHeight="1">
      <c r="C670" s="8"/>
      <c r="N670" s="8"/>
    </row>
    <row r="671" ht="15.75" customHeight="1">
      <c r="C671" s="8"/>
      <c r="N671" s="8"/>
    </row>
    <row r="672" ht="15.75" customHeight="1">
      <c r="C672" s="8"/>
      <c r="N672" s="8"/>
    </row>
    <row r="673" ht="15.75" customHeight="1">
      <c r="C673" s="8"/>
      <c r="N673" s="8"/>
    </row>
    <row r="674" ht="15.75" customHeight="1">
      <c r="C674" s="8"/>
      <c r="N674" s="8"/>
    </row>
    <row r="675" ht="15.75" customHeight="1">
      <c r="C675" s="8"/>
      <c r="N675" s="8"/>
    </row>
    <row r="676" ht="15.75" customHeight="1">
      <c r="C676" s="8"/>
      <c r="N676" s="8"/>
    </row>
    <row r="677" ht="15.75" customHeight="1">
      <c r="C677" s="8"/>
      <c r="N677" s="8"/>
    </row>
    <row r="678" ht="15.75" customHeight="1">
      <c r="C678" s="8"/>
      <c r="N678" s="8"/>
    </row>
    <row r="679" ht="15.75" customHeight="1">
      <c r="C679" s="8"/>
      <c r="N679" s="8"/>
    </row>
    <row r="680" ht="15.75" customHeight="1">
      <c r="C680" s="8"/>
      <c r="N680" s="8"/>
    </row>
    <row r="681" ht="15.75" customHeight="1">
      <c r="C681" s="8"/>
      <c r="N681" s="8"/>
    </row>
    <row r="682" ht="15.75" customHeight="1">
      <c r="C682" s="8"/>
      <c r="N682" s="8"/>
    </row>
    <row r="683" ht="15.75" customHeight="1">
      <c r="C683" s="8"/>
      <c r="N683" s="8"/>
    </row>
    <row r="684" ht="15.75" customHeight="1">
      <c r="C684" s="8"/>
      <c r="N684" s="8"/>
    </row>
    <row r="685" ht="15.75" customHeight="1">
      <c r="C685" s="8"/>
      <c r="N685" s="8"/>
    </row>
    <row r="686" ht="15.75" customHeight="1">
      <c r="C686" s="8"/>
      <c r="N686" s="8"/>
    </row>
    <row r="687" ht="15.75" customHeight="1">
      <c r="C687" s="8"/>
      <c r="N687" s="8"/>
    </row>
    <row r="688" ht="15.75" customHeight="1">
      <c r="C688" s="8"/>
      <c r="N688" s="8"/>
    </row>
    <row r="689" ht="15.75" customHeight="1">
      <c r="C689" s="8"/>
      <c r="N689" s="8"/>
    </row>
    <row r="690" ht="15.75" customHeight="1">
      <c r="C690" s="8"/>
      <c r="N690" s="8"/>
    </row>
    <row r="691" ht="15.75" customHeight="1">
      <c r="C691" s="8"/>
      <c r="N691" s="8"/>
    </row>
    <row r="692" ht="15.75" customHeight="1">
      <c r="C692" s="8"/>
      <c r="N692" s="8"/>
    </row>
    <row r="693" ht="15.75" customHeight="1">
      <c r="C693" s="8"/>
      <c r="N693" s="8"/>
    </row>
    <row r="694" ht="15.75" customHeight="1">
      <c r="C694" s="8"/>
      <c r="N694" s="8"/>
    </row>
    <row r="695" ht="15.75" customHeight="1">
      <c r="C695" s="8"/>
      <c r="N695" s="8"/>
    </row>
    <row r="696" ht="15.75" customHeight="1">
      <c r="C696" s="8"/>
      <c r="N696" s="8"/>
    </row>
    <row r="697" ht="15.75" customHeight="1">
      <c r="C697" s="8"/>
      <c r="N697" s="8"/>
    </row>
    <row r="698" ht="15.75" customHeight="1">
      <c r="C698" s="8"/>
      <c r="N698" s="8"/>
    </row>
    <row r="699" ht="15.75" customHeight="1">
      <c r="C699" s="8"/>
      <c r="N699" s="8"/>
    </row>
    <row r="700" ht="15.75" customHeight="1">
      <c r="C700" s="8"/>
      <c r="N700" s="8"/>
    </row>
    <row r="701" ht="15.75" customHeight="1">
      <c r="C701" s="8"/>
      <c r="N701" s="8"/>
    </row>
    <row r="702" ht="15.75" customHeight="1">
      <c r="C702" s="8"/>
      <c r="N702" s="8"/>
    </row>
    <row r="703" ht="15.75" customHeight="1">
      <c r="C703" s="8"/>
      <c r="N703" s="8"/>
    </row>
    <row r="704" ht="15.75" customHeight="1">
      <c r="C704" s="8"/>
      <c r="N704" s="8"/>
    </row>
    <row r="705" ht="15.75" customHeight="1">
      <c r="C705" s="8"/>
      <c r="N705" s="8"/>
    </row>
    <row r="706" ht="15.75" customHeight="1">
      <c r="C706" s="8"/>
      <c r="N706" s="8"/>
    </row>
    <row r="707" ht="15.75" customHeight="1">
      <c r="C707" s="8"/>
      <c r="N707" s="8"/>
    </row>
    <row r="708" ht="15.75" customHeight="1">
      <c r="C708" s="8"/>
      <c r="N708" s="8"/>
    </row>
    <row r="709" ht="15.75" customHeight="1">
      <c r="C709" s="8"/>
      <c r="N709" s="8"/>
    </row>
    <row r="710" ht="15.75" customHeight="1">
      <c r="C710" s="8"/>
      <c r="N710" s="8"/>
    </row>
    <row r="711" ht="15.75" customHeight="1">
      <c r="C711" s="8"/>
      <c r="N711" s="8"/>
    </row>
    <row r="712" ht="15.75" customHeight="1">
      <c r="C712" s="8"/>
      <c r="N712" s="8"/>
    </row>
    <row r="713" ht="15.75" customHeight="1">
      <c r="C713" s="8"/>
      <c r="N713" s="8"/>
    </row>
    <row r="714" ht="15.75" customHeight="1">
      <c r="C714" s="8"/>
      <c r="N714" s="8"/>
    </row>
    <row r="715" ht="15.75" customHeight="1">
      <c r="C715" s="8"/>
      <c r="N715" s="8"/>
    </row>
    <row r="716" ht="15.75" customHeight="1">
      <c r="C716" s="8"/>
      <c r="N716" s="8"/>
    </row>
    <row r="717" ht="15.75" customHeight="1">
      <c r="C717" s="8"/>
      <c r="N717" s="8"/>
    </row>
    <row r="718" ht="15.75" customHeight="1">
      <c r="C718" s="8"/>
      <c r="N718" s="8"/>
    </row>
    <row r="719" ht="15.75" customHeight="1">
      <c r="C719" s="8"/>
      <c r="N719" s="8"/>
    </row>
    <row r="720" ht="15.75" customHeight="1">
      <c r="C720" s="8"/>
      <c r="N720" s="8"/>
    </row>
    <row r="721" ht="15.75" customHeight="1">
      <c r="C721" s="8"/>
      <c r="N721" s="8"/>
    </row>
    <row r="722" ht="15.75" customHeight="1">
      <c r="C722" s="8"/>
      <c r="N722" s="8"/>
    </row>
    <row r="723" ht="15.75" customHeight="1">
      <c r="C723" s="8"/>
      <c r="N723" s="8"/>
    </row>
    <row r="724" ht="15.75" customHeight="1">
      <c r="C724" s="8"/>
      <c r="N724" s="8"/>
    </row>
    <row r="725" ht="15.75" customHeight="1">
      <c r="C725" s="8"/>
      <c r="N725" s="8"/>
    </row>
    <row r="726" ht="15.75" customHeight="1">
      <c r="C726" s="8"/>
      <c r="N726" s="8"/>
    </row>
    <row r="727" ht="15.75" customHeight="1">
      <c r="C727" s="8"/>
      <c r="N727" s="8"/>
    </row>
    <row r="728" ht="15.75" customHeight="1">
      <c r="C728" s="8"/>
      <c r="N728" s="8"/>
    </row>
    <row r="729" ht="15.75" customHeight="1">
      <c r="C729" s="8"/>
      <c r="N729" s="8"/>
    </row>
    <row r="730" ht="15.75" customHeight="1">
      <c r="C730" s="8"/>
      <c r="N730" s="8"/>
    </row>
    <row r="731" ht="15.75" customHeight="1">
      <c r="C731" s="8"/>
      <c r="N731" s="8"/>
    </row>
    <row r="732" ht="15.75" customHeight="1">
      <c r="C732" s="8"/>
      <c r="N732" s="8"/>
    </row>
    <row r="733" ht="15.75" customHeight="1">
      <c r="C733" s="8"/>
      <c r="N733" s="8"/>
    </row>
    <row r="734" ht="15.75" customHeight="1">
      <c r="C734" s="8"/>
      <c r="N734" s="8"/>
    </row>
    <row r="735" ht="15.75" customHeight="1">
      <c r="C735" s="8"/>
      <c r="N735" s="8"/>
    </row>
    <row r="736" ht="15.75" customHeight="1">
      <c r="C736" s="8"/>
      <c r="N736" s="8"/>
    </row>
    <row r="737" ht="15.75" customHeight="1">
      <c r="C737" s="8"/>
      <c r="N737" s="8"/>
    </row>
    <row r="738" ht="15.75" customHeight="1">
      <c r="C738" s="8"/>
      <c r="N738" s="8"/>
    </row>
    <row r="739" ht="15.75" customHeight="1">
      <c r="C739" s="8"/>
      <c r="N739" s="8"/>
    </row>
    <row r="740" ht="15.75" customHeight="1">
      <c r="C740" s="8"/>
      <c r="N740" s="8"/>
    </row>
    <row r="741" ht="15.75" customHeight="1">
      <c r="C741" s="8"/>
      <c r="N741" s="8"/>
    </row>
    <row r="742" ht="15.75" customHeight="1">
      <c r="C742" s="8"/>
      <c r="N742" s="8"/>
    </row>
    <row r="743" ht="15.75" customHeight="1">
      <c r="C743" s="8"/>
      <c r="N743" s="8"/>
    </row>
    <row r="744" ht="15.75" customHeight="1">
      <c r="C744" s="8"/>
      <c r="N744" s="8"/>
    </row>
    <row r="745" ht="15.75" customHeight="1">
      <c r="C745" s="8"/>
      <c r="N745" s="8"/>
    </row>
    <row r="746" ht="15.75" customHeight="1">
      <c r="C746" s="8"/>
      <c r="N746" s="8"/>
    </row>
    <row r="747" ht="15.75" customHeight="1">
      <c r="C747" s="8"/>
      <c r="N747" s="8"/>
    </row>
    <row r="748" ht="15.75" customHeight="1">
      <c r="C748" s="8"/>
      <c r="N748" s="8"/>
    </row>
    <row r="749" ht="15.75" customHeight="1">
      <c r="C749" s="8"/>
      <c r="N749" s="8"/>
    </row>
    <row r="750" ht="15.75" customHeight="1">
      <c r="C750" s="8"/>
      <c r="N750" s="8"/>
    </row>
    <row r="751" ht="15.75" customHeight="1">
      <c r="C751" s="8"/>
      <c r="N751" s="8"/>
    </row>
    <row r="752" ht="15.75" customHeight="1">
      <c r="C752" s="8"/>
      <c r="N752" s="8"/>
    </row>
    <row r="753" ht="15.75" customHeight="1">
      <c r="C753" s="8"/>
      <c r="N753" s="8"/>
    </row>
    <row r="754" ht="15.75" customHeight="1">
      <c r="C754" s="8"/>
      <c r="N754" s="8"/>
    </row>
    <row r="755" ht="15.75" customHeight="1">
      <c r="C755" s="8"/>
      <c r="N755" s="8"/>
    </row>
    <row r="756" ht="15.75" customHeight="1">
      <c r="C756" s="8"/>
      <c r="N756" s="8"/>
    </row>
    <row r="757" ht="15.75" customHeight="1">
      <c r="C757" s="8"/>
      <c r="N757" s="8"/>
    </row>
    <row r="758" ht="15.75" customHeight="1">
      <c r="C758" s="8"/>
      <c r="N758" s="8"/>
    </row>
    <row r="759" ht="15.75" customHeight="1">
      <c r="C759" s="8"/>
      <c r="N759" s="8"/>
    </row>
    <row r="760" ht="15.75" customHeight="1">
      <c r="C760" s="8"/>
      <c r="N760" s="8"/>
    </row>
    <row r="761" ht="15.75" customHeight="1">
      <c r="C761" s="8"/>
      <c r="N761" s="8"/>
    </row>
    <row r="762" ht="15.75" customHeight="1">
      <c r="C762" s="8"/>
      <c r="N762" s="8"/>
    </row>
    <row r="763" ht="15.75" customHeight="1">
      <c r="C763" s="8"/>
      <c r="N763" s="8"/>
    </row>
    <row r="764" ht="15.75" customHeight="1">
      <c r="C764" s="8"/>
      <c r="N764" s="8"/>
    </row>
    <row r="765" ht="15.75" customHeight="1">
      <c r="C765" s="8"/>
      <c r="N765" s="8"/>
    </row>
    <row r="766" ht="15.75" customHeight="1">
      <c r="C766" s="8"/>
      <c r="N766" s="8"/>
    </row>
    <row r="767" ht="15.75" customHeight="1">
      <c r="C767" s="8"/>
      <c r="N767" s="8"/>
    </row>
    <row r="768" ht="15.75" customHeight="1">
      <c r="C768" s="8"/>
      <c r="N768" s="8"/>
    </row>
    <row r="769" ht="15.75" customHeight="1">
      <c r="C769" s="8"/>
      <c r="N769" s="8"/>
    </row>
    <row r="770" ht="15.75" customHeight="1">
      <c r="C770" s="8"/>
      <c r="N770" s="8"/>
    </row>
    <row r="771" ht="15.75" customHeight="1">
      <c r="C771" s="8"/>
      <c r="N771" s="8"/>
    </row>
    <row r="772" ht="15.75" customHeight="1">
      <c r="C772" s="8"/>
      <c r="N772" s="8"/>
    </row>
    <row r="773" ht="15.75" customHeight="1">
      <c r="C773" s="8"/>
      <c r="N773" s="8"/>
    </row>
    <row r="774" ht="15.75" customHeight="1">
      <c r="C774" s="8"/>
      <c r="N774" s="8"/>
    </row>
    <row r="775" ht="15.75" customHeight="1">
      <c r="C775" s="8"/>
      <c r="N775" s="8"/>
    </row>
    <row r="776" ht="15.75" customHeight="1">
      <c r="C776" s="8"/>
      <c r="N776" s="8"/>
    </row>
    <row r="777" ht="15.75" customHeight="1">
      <c r="C777" s="8"/>
      <c r="N777" s="8"/>
    </row>
    <row r="778" ht="15.75" customHeight="1">
      <c r="C778" s="8"/>
      <c r="N778" s="8"/>
    </row>
    <row r="779" ht="15.75" customHeight="1">
      <c r="C779" s="8"/>
      <c r="N779" s="8"/>
    </row>
    <row r="780" ht="15.75" customHeight="1">
      <c r="C780" s="8"/>
      <c r="N780" s="8"/>
    </row>
    <row r="781" ht="15.75" customHeight="1">
      <c r="C781" s="8"/>
      <c r="N781" s="8"/>
    </row>
    <row r="782" ht="15.75" customHeight="1">
      <c r="C782" s="8"/>
      <c r="N782" s="8"/>
    </row>
    <row r="783" ht="15.75" customHeight="1">
      <c r="C783" s="8"/>
      <c r="N783" s="8"/>
    </row>
    <row r="784" ht="15.75" customHeight="1">
      <c r="C784" s="8"/>
      <c r="N784" s="8"/>
    </row>
    <row r="785" ht="15.75" customHeight="1">
      <c r="C785" s="8"/>
      <c r="N785" s="8"/>
    </row>
    <row r="786" ht="15.75" customHeight="1">
      <c r="C786" s="8"/>
      <c r="N786" s="8"/>
    </row>
    <row r="787" ht="15.75" customHeight="1">
      <c r="C787" s="8"/>
      <c r="N787" s="8"/>
    </row>
    <row r="788" ht="15.75" customHeight="1">
      <c r="C788" s="8"/>
      <c r="N788" s="8"/>
    </row>
    <row r="789" ht="15.75" customHeight="1">
      <c r="C789" s="8"/>
      <c r="N789" s="8"/>
    </row>
    <row r="790" ht="15.75" customHeight="1">
      <c r="C790" s="8"/>
      <c r="N790" s="8"/>
    </row>
    <row r="791" ht="15.75" customHeight="1">
      <c r="C791" s="8"/>
      <c r="N791" s="8"/>
    </row>
    <row r="792" ht="15.75" customHeight="1">
      <c r="C792" s="8"/>
      <c r="N792" s="8"/>
    </row>
    <row r="793" ht="15.75" customHeight="1">
      <c r="C793" s="8"/>
      <c r="N793" s="8"/>
    </row>
    <row r="794" ht="15.75" customHeight="1">
      <c r="C794" s="8"/>
      <c r="N794" s="8"/>
    </row>
    <row r="795" ht="15.75" customHeight="1">
      <c r="C795" s="8"/>
      <c r="N795" s="8"/>
    </row>
    <row r="796" ht="15.75" customHeight="1">
      <c r="C796" s="8"/>
      <c r="N796" s="8"/>
    </row>
    <row r="797" ht="15.75" customHeight="1">
      <c r="C797" s="8"/>
      <c r="N797" s="8"/>
    </row>
    <row r="798" ht="15.75" customHeight="1">
      <c r="C798" s="8"/>
      <c r="N798" s="8"/>
    </row>
    <row r="799" ht="15.75" customHeight="1">
      <c r="C799" s="8"/>
      <c r="N799" s="8"/>
    </row>
    <row r="800" ht="15.75" customHeight="1">
      <c r="C800" s="8"/>
      <c r="N800" s="8"/>
    </row>
    <row r="801" ht="15.75" customHeight="1">
      <c r="C801" s="8"/>
      <c r="N801" s="8"/>
    </row>
    <row r="802" ht="15.75" customHeight="1">
      <c r="C802" s="8"/>
      <c r="N802" s="8"/>
    </row>
    <row r="803" ht="15.75" customHeight="1">
      <c r="C803" s="8"/>
      <c r="N803" s="8"/>
    </row>
    <row r="804" ht="15.75" customHeight="1">
      <c r="C804" s="8"/>
      <c r="N804" s="8"/>
    </row>
    <row r="805" ht="15.75" customHeight="1">
      <c r="C805" s="8"/>
      <c r="N805" s="8"/>
    </row>
    <row r="806" ht="15.75" customHeight="1">
      <c r="C806" s="8"/>
      <c r="N806" s="8"/>
    </row>
    <row r="807" ht="15.75" customHeight="1">
      <c r="C807" s="8"/>
      <c r="N807" s="8"/>
    </row>
    <row r="808" ht="15.75" customHeight="1">
      <c r="C808" s="8"/>
      <c r="N808" s="8"/>
    </row>
    <row r="809" ht="15.75" customHeight="1">
      <c r="C809" s="8"/>
      <c r="N809" s="8"/>
    </row>
    <row r="810" ht="15.75" customHeight="1">
      <c r="C810" s="8"/>
      <c r="N810" s="8"/>
    </row>
    <row r="811" ht="15.75" customHeight="1">
      <c r="C811" s="8"/>
      <c r="N811" s="8"/>
    </row>
    <row r="812" ht="15.75" customHeight="1">
      <c r="C812" s="8"/>
      <c r="N812" s="8"/>
    </row>
    <row r="813" ht="15.75" customHeight="1">
      <c r="C813" s="8"/>
      <c r="N813" s="8"/>
    </row>
    <row r="814" ht="15.75" customHeight="1">
      <c r="C814" s="8"/>
      <c r="N814" s="8"/>
    </row>
    <row r="815" ht="15.75" customHeight="1">
      <c r="C815" s="8"/>
      <c r="N815" s="8"/>
    </row>
    <row r="816" ht="15.75" customHeight="1">
      <c r="C816" s="8"/>
      <c r="N816" s="8"/>
    </row>
    <row r="817" ht="15.75" customHeight="1">
      <c r="C817" s="8"/>
      <c r="N817" s="8"/>
    </row>
    <row r="818" ht="15.75" customHeight="1">
      <c r="C818" s="8"/>
      <c r="N818" s="8"/>
    </row>
    <row r="819" ht="15.75" customHeight="1">
      <c r="C819" s="8"/>
      <c r="N819" s="8"/>
    </row>
    <row r="820" ht="15.75" customHeight="1">
      <c r="C820" s="8"/>
      <c r="N820" s="8"/>
    </row>
    <row r="821" ht="15.75" customHeight="1">
      <c r="C821" s="8"/>
      <c r="N821" s="8"/>
    </row>
    <row r="822" ht="15.75" customHeight="1">
      <c r="C822" s="8"/>
      <c r="N822" s="8"/>
    </row>
    <row r="823" ht="15.75" customHeight="1">
      <c r="C823" s="8"/>
      <c r="N823" s="8"/>
    </row>
    <row r="824" ht="15.75" customHeight="1">
      <c r="C824" s="8"/>
      <c r="N824" s="8"/>
    </row>
    <row r="825" ht="15.75" customHeight="1">
      <c r="C825" s="8"/>
      <c r="N825" s="8"/>
    </row>
    <row r="826" ht="15.75" customHeight="1">
      <c r="C826" s="8"/>
      <c r="N826" s="8"/>
    </row>
    <row r="827" ht="15.75" customHeight="1">
      <c r="C827" s="8"/>
      <c r="N827" s="8"/>
    </row>
    <row r="828" ht="15.75" customHeight="1">
      <c r="C828" s="8"/>
      <c r="N828" s="8"/>
    </row>
    <row r="829" ht="15.75" customHeight="1">
      <c r="C829" s="8"/>
      <c r="N829" s="8"/>
    </row>
    <row r="830" ht="15.75" customHeight="1">
      <c r="C830" s="8"/>
      <c r="N830" s="8"/>
    </row>
    <row r="831" ht="15.75" customHeight="1">
      <c r="C831" s="8"/>
      <c r="N831" s="8"/>
    </row>
    <row r="832" ht="15.75" customHeight="1">
      <c r="C832" s="8"/>
      <c r="N832" s="8"/>
    </row>
    <row r="833" ht="15.75" customHeight="1">
      <c r="C833" s="8"/>
      <c r="N833" s="8"/>
    </row>
    <row r="834" ht="15.75" customHeight="1">
      <c r="C834" s="8"/>
      <c r="N834" s="8"/>
    </row>
    <row r="835" ht="15.75" customHeight="1">
      <c r="C835" s="8"/>
      <c r="N835" s="8"/>
    </row>
    <row r="836" ht="15.75" customHeight="1">
      <c r="C836" s="8"/>
      <c r="N836" s="8"/>
    </row>
    <row r="837" ht="15.75" customHeight="1">
      <c r="C837" s="8"/>
      <c r="N837" s="8"/>
    </row>
    <row r="838" ht="15.75" customHeight="1">
      <c r="C838" s="8"/>
      <c r="N838" s="8"/>
    </row>
    <row r="839" ht="15.75" customHeight="1">
      <c r="C839" s="8"/>
      <c r="N839" s="8"/>
    </row>
    <row r="840" ht="15.75" customHeight="1">
      <c r="C840" s="8"/>
      <c r="N840" s="8"/>
    </row>
    <row r="841" ht="15.75" customHeight="1">
      <c r="C841" s="8"/>
      <c r="N841" s="8"/>
    </row>
    <row r="842" ht="15.75" customHeight="1">
      <c r="C842" s="8"/>
      <c r="N842" s="8"/>
    </row>
    <row r="843" ht="15.75" customHeight="1">
      <c r="C843" s="8"/>
      <c r="N843" s="8"/>
    </row>
    <row r="844" ht="15.75" customHeight="1">
      <c r="C844" s="8"/>
      <c r="N844" s="8"/>
    </row>
    <row r="845" ht="15.75" customHeight="1">
      <c r="C845" s="8"/>
      <c r="N845" s="8"/>
    </row>
    <row r="846" ht="15.75" customHeight="1">
      <c r="C846" s="8"/>
      <c r="N846" s="8"/>
    </row>
    <row r="847" ht="15.75" customHeight="1">
      <c r="C847" s="8"/>
      <c r="N847" s="8"/>
    </row>
    <row r="848" ht="15.75" customHeight="1">
      <c r="C848" s="8"/>
      <c r="N848" s="8"/>
    </row>
    <row r="849" ht="15.75" customHeight="1">
      <c r="C849" s="8"/>
      <c r="N849" s="8"/>
    </row>
    <row r="850" ht="15.75" customHeight="1">
      <c r="C850" s="8"/>
      <c r="N850" s="8"/>
    </row>
    <row r="851" ht="15.75" customHeight="1">
      <c r="C851" s="8"/>
      <c r="N851" s="8"/>
    </row>
    <row r="852" ht="15.75" customHeight="1">
      <c r="C852" s="8"/>
      <c r="N852" s="8"/>
    </row>
    <row r="853" ht="15.75" customHeight="1">
      <c r="C853" s="8"/>
      <c r="N853" s="8"/>
    </row>
    <row r="854" ht="15.75" customHeight="1">
      <c r="C854" s="8"/>
      <c r="N854" s="8"/>
    </row>
    <row r="855" ht="15.75" customHeight="1">
      <c r="C855" s="8"/>
      <c r="N855" s="8"/>
    </row>
    <row r="856" ht="15.75" customHeight="1">
      <c r="C856" s="8"/>
      <c r="N856" s="8"/>
    </row>
    <row r="857" ht="15.75" customHeight="1">
      <c r="C857" s="8"/>
      <c r="N857" s="8"/>
    </row>
    <row r="858" ht="15.75" customHeight="1">
      <c r="C858" s="8"/>
      <c r="N858" s="8"/>
    </row>
    <row r="859" ht="15.75" customHeight="1">
      <c r="C859" s="8"/>
      <c r="N859" s="8"/>
    </row>
    <row r="860" ht="15.75" customHeight="1">
      <c r="C860" s="8"/>
      <c r="N860" s="8"/>
    </row>
    <row r="861" ht="15.75" customHeight="1">
      <c r="C861" s="8"/>
      <c r="N861" s="8"/>
    </row>
    <row r="862" ht="15.75" customHeight="1">
      <c r="C862" s="8"/>
      <c r="N862" s="8"/>
    </row>
    <row r="863" ht="15.75" customHeight="1">
      <c r="C863" s="8"/>
      <c r="N863" s="8"/>
    </row>
    <row r="864" ht="15.75" customHeight="1">
      <c r="C864" s="8"/>
      <c r="N864" s="8"/>
    </row>
    <row r="865" ht="15.75" customHeight="1">
      <c r="C865" s="8"/>
      <c r="N865" s="8"/>
    </row>
    <row r="866" ht="15.75" customHeight="1">
      <c r="C866" s="8"/>
      <c r="N866" s="8"/>
    </row>
    <row r="867" ht="15.75" customHeight="1">
      <c r="C867" s="8"/>
      <c r="N867" s="8"/>
    </row>
    <row r="868" ht="15.75" customHeight="1">
      <c r="C868" s="8"/>
      <c r="N868" s="8"/>
    </row>
    <row r="869" ht="15.75" customHeight="1">
      <c r="C869" s="8"/>
      <c r="N869" s="8"/>
    </row>
    <row r="870" ht="15.75" customHeight="1">
      <c r="C870" s="8"/>
      <c r="N870" s="8"/>
    </row>
    <row r="871" ht="15.75" customHeight="1">
      <c r="C871" s="8"/>
      <c r="N871" s="8"/>
    </row>
    <row r="872" ht="15.75" customHeight="1">
      <c r="C872" s="8"/>
      <c r="N872" s="8"/>
    </row>
    <row r="873" ht="15.75" customHeight="1">
      <c r="C873" s="8"/>
      <c r="N873" s="8"/>
    </row>
    <row r="874" ht="15.75" customHeight="1">
      <c r="C874" s="8"/>
      <c r="N874" s="8"/>
    </row>
    <row r="875" ht="15.75" customHeight="1">
      <c r="C875" s="8"/>
      <c r="N875" s="8"/>
    </row>
    <row r="876" ht="15.75" customHeight="1">
      <c r="C876" s="8"/>
      <c r="N876" s="8"/>
    </row>
    <row r="877" ht="15.75" customHeight="1">
      <c r="C877" s="8"/>
      <c r="N877" s="8"/>
    </row>
    <row r="878" ht="15.75" customHeight="1">
      <c r="C878" s="8"/>
      <c r="N878" s="8"/>
    </row>
    <row r="879" ht="15.75" customHeight="1">
      <c r="C879" s="8"/>
      <c r="N879" s="8"/>
    </row>
    <row r="880" ht="15.75" customHeight="1">
      <c r="C880" s="8"/>
      <c r="N880" s="8"/>
    </row>
    <row r="881" ht="15.75" customHeight="1">
      <c r="C881" s="8"/>
      <c r="N881" s="8"/>
    </row>
    <row r="882" ht="15.75" customHeight="1">
      <c r="C882" s="8"/>
      <c r="N882" s="8"/>
    </row>
    <row r="883" ht="15.75" customHeight="1">
      <c r="C883" s="8"/>
      <c r="N883" s="8"/>
    </row>
    <row r="884" ht="15.75" customHeight="1">
      <c r="C884" s="8"/>
      <c r="N884" s="8"/>
    </row>
    <row r="885" ht="15.75" customHeight="1">
      <c r="C885" s="8"/>
      <c r="N885" s="8"/>
    </row>
    <row r="886" ht="15.75" customHeight="1">
      <c r="C886" s="8"/>
      <c r="N886" s="8"/>
    </row>
    <row r="887" ht="15.75" customHeight="1">
      <c r="C887" s="8"/>
      <c r="N887" s="8"/>
    </row>
    <row r="888" ht="15.75" customHeight="1">
      <c r="C888" s="8"/>
      <c r="N888" s="8"/>
    </row>
    <row r="889" ht="15.75" customHeight="1">
      <c r="C889" s="8"/>
      <c r="N889" s="8"/>
    </row>
    <row r="890" ht="15.75" customHeight="1">
      <c r="C890" s="8"/>
      <c r="N890" s="8"/>
    </row>
    <row r="891" ht="15.75" customHeight="1">
      <c r="C891" s="8"/>
      <c r="N891" s="8"/>
    </row>
    <row r="892" ht="15.75" customHeight="1">
      <c r="C892" s="8"/>
      <c r="N892" s="8"/>
    </row>
    <row r="893" ht="15.75" customHeight="1">
      <c r="C893" s="8"/>
      <c r="N893" s="8"/>
    </row>
    <row r="894" ht="15.75" customHeight="1">
      <c r="C894" s="8"/>
      <c r="N894" s="8"/>
    </row>
    <row r="895" ht="15.75" customHeight="1">
      <c r="C895" s="8"/>
      <c r="N895" s="8"/>
    </row>
    <row r="896" ht="15.75" customHeight="1">
      <c r="C896" s="8"/>
      <c r="N896" s="8"/>
    </row>
    <row r="897" ht="15.75" customHeight="1">
      <c r="C897" s="8"/>
      <c r="N897" s="8"/>
    </row>
    <row r="898" ht="15.75" customHeight="1">
      <c r="C898" s="8"/>
      <c r="N898" s="8"/>
    </row>
    <row r="899" ht="15.75" customHeight="1">
      <c r="C899" s="8"/>
      <c r="N899" s="8"/>
    </row>
    <row r="900" ht="15.75" customHeight="1">
      <c r="C900" s="8"/>
      <c r="N900" s="8"/>
    </row>
    <row r="901" ht="15.75" customHeight="1">
      <c r="C901" s="8"/>
      <c r="N901" s="8"/>
    </row>
    <row r="902" ht="15.75" customHeight="1">
      <c r="C902" s="8"/>
      <c r="N902" s="8"/>
    </row>
    <row r="903" ht="15.75" customHeight="1">
      <c r="C903" s="8"/>
      <c r="N903" s="8"/>
    </row>
    <row r="904" ht="15.75" customHeight="1">
      <c r="C904" s="8"/>
      <c r="N904" s="8"/>
    </row>
    <row r="905" ht="15.75" customHeight="1">
      <c r="C905" s="8"/>
      <c r="N905" s="8"/>
    </row>
    <row r="906" ht="15.75" customHeight="1">
      <c r="C906" s="8"/>
      <c r="N906" s="8"/>
    </row>
    <row r="907" ht="15.75" customHeight="1">
      <c r="C907" s="8"/>
      <c r="N907" s="8"/>
    </row>
    <row r="908" ht="15.75" customHeight="1">
      <c r="C908" s="8"/>
      <c r="N908" s="8"/>
    </row>
    <row r="909" ht="15.75" customHeight="1">
      <c r="C909" s="8"/>
      <c r="N909" s="8"/>
    </row>
    <row r="910" ht="15.75" customHeight="1">
      <c r="C910" s="8"/>
      <c r="N910" s="8"/>
    </row>
    <row r="911" ht="15.75" customHeight="1">
      <c r="C911" s="8"/>
      <c r="N911" s="8"/>
    </row>
    <row r="912" ht="15.75" customHeight="1">
      <c r="C912" s="8"/>
      <c r="N912" s="8"/>
    </row>
    <row r="913" ht="15.75" customHeight="1">
      <c r="C913" s="8"/>
      <c r="N913" s="8"/>
    </row>
    <row r="914" ht="15.75" customHeight="1">
      <c r="C914" s="8"/>
      <c r="N914" s="8"/>
    </row>
    <row r="915" ht="15.75" customHeight="1">
      <c r="C915" s="8"/>
      <c r="N915" s="8"/>
    </row>
    <row r="916" ht="15.75" customHeight="1">
      <c r="C916" s="8"/>
      <c r="N916" s="8"/>
    </row>
    <row r="917" ht="15.75" customHeight="1">
      <c r="C917" s="8"/>
      <c r="N917" s="8"/>
    </row>
    <row r="918" ht="15.75" customHeight="1">
      <c r="C918" s="8"/>
      <c r="N918" s="8"/>
    </row>
    <row r="919" ht="15.75" customHeight="1">
      <c r="C919" s="8"/>
      <c r="N919" s="8"/>
    </row>
    <row r="920" ht="15.75" customHeight="1">
      <c r="C920" s="8"/>
      <c r="N920" s="8"/>
    </row>
    <row r="921" ht="15.75" customHeight="1">
      <c r="C921" s="8"/>
      <c r="N921" s="8"/>
    </row>
    <row r="922" ht="15.75" customHeight="1">
      <c r="C922" s="8"/>
      <c r="N922" s="8"/>
    </row>
    <row r="923" ht="15.75" customHeight="1">
      <c r="C923" s="8"/>
      <c r="N923" s="8"/>
    </row>
    <row r="924" ht="15.75" customHeight="1">
      <c r="C924" s="8"/>
      <c r="N924" s="8"/>
    </row>
    <row r="925" ht="15.75" customHeight="1">
      <c r="C925" s="8"/>
      <c r="N925" s="8"/>
    </row>
    <row r="926" ht="15.75" customHeight="1">
      <c r="C926" s="8"/>
      <c r="N926" s="8"/>
    </row>
    <row r="927" ht="15.75" customHeight="1">
      <c r="C927" s="8"/>
      <c r="N927" s="8"/>
    </row>
    <row r="928" ht="15.75" customHeight="1">
      <c r="C928" s="8"/>
      <c r="N928" s="8"/>
    </row>
    <row r="929" ht="15.75" customHeight="1">
      <c r="C929" s="8"/>
      <c r="N929" s="8"/>
    </row>
    <row r="930" ht="15.75" customHeight="1">
      <c r="C930" s="8"/>
      <c r="N930" s="8"/>
    </row>
    <row r="931" ht="15.75" customHeight="1">
      <c r="C931" s="8"/>
      <c r="N931" s="8"/>
    </row>
    <row r="932" ht="15.75" customHeight="1">
      <c r="C932" s="8"/>
      <c r="N932" s="8"/>
    </row>
    <row r="933" ht="15.75" customHeight="1">
      <c r="C933" s="8"/>
      <c r="N933" s="8"/>
    </row>
    <row r="934" ht="15.75" customHeight="1">
      <c r="C934" s="8"/>
      <c r="N934" s="8"/>
    </row>
    <row r="935" ht="15.75" customHeight="1">
      <c r="C935" s="8"/>
      <c r="N935" s="8"/>
    </row>
    <row r="936" ht="15.75" customHeight="1">
      <c r="C936" s="8"/>
      <c r="N936" s="8"/>
    </row>
    <row r="937" ht="15.75" customHeight="1">
      <c r="C937" s="8"/>
      <c r="N937" s="8"/>
    </row>
    <row r="938" ht="15.75" customHeight="1">
      <c r="C938" s="8"/>
      <c r="N938" s="8"/>
    </row>
    <row r="939" ht="15.75" customHeight="1">
      <c r="C939" s="8"/>
      <c r="N939" s="8"/>
    </row>
    <row r="940" ht="15.75" customHeight="1">
      <c r="C940" s="8"/>
      <c r="N940" s="8"/>
    </row>
    <row r="941" ht="15.75" customHeight="1">
      <c r="C941" s="8"/>
      <c r="N941" s="8"/>
    </row>
    <row r="942" ht="15.75" customHeight="1">
      <c r="C942" s="8"/>
      <c r="N942" s="8"/>
    </row>
    <row r="943" ht="15.75" customHeight="1">
      <c r="C943" s="8"/>
      <c r="N943" s="8"/>
    </row>
    <row r="944" ht="15.75" customHeight="1">
      <c r="C944" s="8"/>
      <c r="N944" s="8"/>
    </row>
    <row r="945" ht="15.75" customHeight="1">
      <c r="C945" s="8"/>
      <c r="N945" s="8"/>
    </row>
    <row r="946" ht="15.75" customHeight="1">
      <c r="C946" s="8"/>
      <c r="N946" s="8"/>
    </row>
    <row r="947" ht="15.75" customHeight="1">
      <c r="C947" s="8"/>
      <c r="N947" s="8"/>
    </row>
    <row r="948" ht="15.75" customHeight="1">
      <c r="C948" s="8"/>
      <c r="N948" s="8"/>
    </row>
    <row r="949" ht="15.75" customHeight="1">
      <c r="C949" s="8"/>
      <c r="N949" s="8"/>
    </row>
    <row r="950" ht="15.75" customHeight="1">
      <c r="C950" s="8"/>
      <c r="N950" s="8"/>
    </row>
    <row r="951" ht="15.75" customHeight="1">
      <c r="C951" s="8"/>
      <c r="N951" s="8"/>
    </row>
    <row r="952" ht="15.75" customHeight="1">
      <c r="C952" s="8"/>
      <c r="N952" s="8"/>
    </row>
    <row r="953" ht="15.75" customHeight="1">
      <c r="C953" s="8"/>
      <c r="N953" s="8"/>
    </row>
    <row r="954" ht="15.75" customHeight="1">
      <c r="C954" s="8"/>
      <c r="N954" s="8"/>
    </row>
    <row r="955" ht="15.75" customHeight="1">
      <c r="C955" s="8"/>
      <c r="N955" s="8"/>
    </row>
    <row r="956" ht="15.75" customHeight="1">
      <c r="C956" s="8"/>
      <c r="N956" s="8"/>
    </row>
    <row r="957" ht="15.75" customHeight="1">
      <c r="C957" s="8"/>
      <c r="N957" s="8"/>
    </row>
    <row r="958" ht="15.75" customHeight="1">
      <c r="C958" s="8"/>
      <c r="N958" s="8"/>
    </row>
    <row r="959" ht="15.75" customHeight="1">
      <c r="C959" s="8"/>
      <c r="N959" s="8"/>
    </row>
    <row r="960" ht="15.75" customHeight="1">
      <c r="C960" s="8"/>
      <c r="N960" s="8"/>
    </row>
    <row r="961" ht="15.75" customHeight="1">
      <c r="C961" s="8"/>
      <c r="N961" s="8"/>
    </row>
    <row r="962" ht="15.75" customHeight="1">
      <c r="C962" s="8"/>
      <c r="N962" s="8"/>
    </row>
    <row r="963" ht="15.75" customHeight="1">
      <c r="C963" s="8"/>
      <c r="N963" s="8"/>
    </row>
    <row r="964" ht="15.75" customHeight="1">
      <c r="C964" s="8"/>
      <c r="N964" s="8"/>
    </row>
    <row r="965" ht="15.75" customHeight="1">
      <c r="C965" s="8"/>
      <c r="N965" s="8"/>
    </row>
    <row r="966" ht="15.75" customHeight="1">
      <c r="C966" s="8"/>
      <c r="N966" s="8"/>
    </row>
    <row r="967" ht="15.75" customHeight="1">
      <c r="C967" s="8"/>
      <c r="N967" s="8"/>
    </row>
    <row r="968" ht="15.75" customHeight="1">
      <c r="C968" s="8"/>
      <c r="N968" s="8"/>
    </row>
    <row r="969" ht="15.75" customHeight="1">
      <c r="C969" s="8"/>
      <c r="N969" s="8"/>
    </row>
    <row r="970" ht="15.75" customHeight="1">
      <c r="C970" s="8"/>
      <c r="N970" s="8"/>
    </row>
    <row r="971" ht="15.75" customHeight="1">
      <c r="C971" s="8"/>
      <c r="N971" s="8"/>
    </row>
    <row r="972" ht="15.75" customHeight="1">
      <c r="C972" s="8"/>
      <c r="N972" s="8"/>
    </row>
    <row r="973" ht="15.75" customHeight="1">
      <c r="C973" s="8"/>
      <c r="N973" s="8"/>
    </row>
    <row r="974" ht="15.75" customHeight="1">
      <c r="C974" s="8"/>
      <c r="N974" s="8"/>
    </row>
    <row r="975" ht="15.75" customHeight="1">
      <c r="C975" s="8"/>
      <c r="N975" s="8"/>
    </row>
    <row r="976" ht="15.75" customHeight="1">
      <c r="C976" s="8"/>
      <c r="N976" s="8"/>
    </row>
    <row r="977" ht="15.75" customHeight="1">
      <c r="C977" s="8"/>
      <c r="N977" s="8"/>
    </row>
    <row r="978" ht="15.75" customHeight="1">
      <c r="C978" s="8"/>
      <c r="N978" s="8"/>
    </row>
    <row r="979" ht="15.75" customHeight="1">
      <c r="C979" s="8"/>
      <c r="N979" s="8"/>
    </row>
    <row r="980" ht="15.75" customHeight="1">
      <c r="C980" s="8"/>
      <c r="N980" s="8"/>
    </row>
    <row r="981" ht="15.75" customHeight="1">
      <c r="C981" s="8"/>
      <c r="N981" s="8"/>
    </row>
    <row r="982" ht="15.75" customHeight="1">
      <c r="C982" s="8"/>
      <c r="N982" s="8"/>
    </row>
    <row r="983" ht="15.75" customHeight="1">
      <c r="C983" s="8"/>
      <c r="N983" s="8"/>
    </row>
    <row r="984" ht="15.75" customHeight="1">
      <c r="C984" s="8"/>
      <c r="N984" s="8"/>
    </row>
    <row r="985" ht="15.75" customHeight="1">
      <c r="C985" s="8"/>
      <c r="N985" s="8"/>
    </row>
    <row r="986" ht="15.75" customHeight="1">
      <c r="C986" s="8"/>
      <c r="N986" s="8"/>
    </row>
    <row r="987" ht="15.75" customHeight="1">
      <c r="C987" s="8"/>
      <c r="N987" s="8"/>
    </row>
    <row r="988" ht="15.75" customHeight="1">
      <c r="C988" s="8"/>
      <c r="N988" s="8"/>
    </row>
    <row r="989" ht="15.75" customHeight="1">
      <c r="C989" s="8"/>
      <c r="N989" s="8"/>
    </row>
    <row r="990" ht="15.75" customHeight="1">
      <c r="C990" s="8"/>
      <c r="N990" s="8"/>
    </row>
    <row r="991" ht="15.75" customHeight="1">
      <c r="C991" s="8"/>
      <c r="N991" s="8"/>
    </row>
    <row r="992" ht="15.75" customHeight="1">
      <c r="C992" s="8"/>
      <c r="N992" s="8"/>
    </row>
    <row r="993" ht="15.75" customHeight="1">
      <c r="C993" s="8"/>
      <c r="N993" s="8"/>
    </row>
    <row r="994" ht="15.75" customHeight="1">
      <c r="C994" s="8"/>
      <c r="N994" s="8"/>
    </row>
    <row r="995" ht="15.75" customHeight="1">
      <c r="C995" s="8"/>
      <c r="N995" s="8"/>
    </row>
    <row r="996" ht="15.75" customHeight="1">
      <c r="C996" s="8"/>
      <c r="N996" s="8"/>
    </row>
    <row r="997" ht="15.75" customHeight="1">
      <c r="C997" s="8"/>
      <c r="N997" s="8"/>
    </row>
    <row r="998" ht="15.75" customHeight="1">
      <c r="C998" s="8"/>
      <c r="N998" s="8"/>
    </row>
    <row r="999" ht="15.75" customHeight="1">
      <c r="C999" s="8"/>
      <c r="N999" s="8"/>
    </row>
    <row r="1000" ht="15.75" customHeight="1">
      <c r="C1000" s="8"/>
      <c r="N1000" s="8"/>
    </row>
  </sheetData>
  <mergeCells count="13">
    <mergeCell ref="C9:G9"/>
    <mergeCell ref="C10:G10"/>
    <mergeCell ref="B12:D12"/>
    <mergeCell ref="B13:D13"/>
    <mergeCell ref="B14:D14"/>
    <mergeCell ref="B15:D15"/>
    <mergeCell ref="A1:G1"/>
    <mergeCell ref="A3:G3"/>
    <mergeCell ref="C4:G4"/>
    <mergeCell ref="C5:G5"/>
    <mergeCell ref="C6:G6"/>
    <mergeCell ref="C7:G7"/>
    <mergeCell ref="C8:G8"/>
  </mergeCells>
  <conditionalFormatting sqref="C82">
    <cfRule type="cellIs" dxfId="1" priority="1" operator="greaterThan">
      <formula>$C$81</formula>
    </cfRule>
  </conditionalFormatting>
  <conditionalFormatting sqref="C72:G72">
    <cfRule type="cellIs" dxfId="1" priority="2" operator="greaterThan">
      <formula>$C$70</formula>
    </cfRule>
  </conditionalFormatting>
  <conditionalFormatting sqref="C92:G92">
    <cfRule type="cellIs" dxfId="1" priority="3" operator="greaterThan">
      <formula>$C$91</formula>
    </cfRule>
  </conditionalFormatting>
  <conditionalFormatting sqref="C102:G102">
    <cfRule type="cellIs" dxfId="1" priority="4" operator="greaterThan">
      <formula>$C$91</formula>
    </cfRule>
  </conditionalFormatting>
  <conditionalFormatting sqref="C112:G112">
    <cfRule type="cellIs" dxfId="1" priority="5" operator="greaterThan">
      <formula>$C$91</formula>
    </cfRule>
  </conditionalFormatting>
  <conditionalFormatting sqref="C122:G122">
    <cfRule type="cellIs" dxfId="1" priority="6" operator="greaterThan">
      <formula>$C$91</formula>
    </cfRule>
  </conditionalFormatting>
  <conditionalFormatting sqref="D82">
    <cfRule type="cellIs" dxfId="1" priority="7" operator="greaterThan">
      <formula>$D$81</formula>
    </cfRule>
  </conditionalFormatting>
  <conditionalFormatting sqref="E82">
    <cfRule type="cellIs" dxfId="1" priority="8" operator="greaterThan">
      <formula>$E$81</formula>
    </cfRule>
  </conditionalFormatting>
  <conditionalFormatting sqref="F82">
    <cfRule type="cellIs" dxfId="1" priority="9" operator="greaterThan">
      <formula>$F$81</formula>
    </cfRule>
  </conditionalFormatting>
  <conditionalFormatting sqref="G82">
    <cfRule type="cellIs" dxfId="1" priority="10" operator="greaterThan">
      <formula>$G$81</formula>
    </cfRule>
  </conditionalFormatting>
  <conditionalFormatting sqref="H72">
    <cfRule type="cellIs" dxfId="1" priority="11" operator="greaterThan">
      <formula>$H$70</formula>
    </cfRule>
  </conditionalFormatting>
  <conditionalFormatting sqref="H82">
    <cfRule type="cellIs" dxfId="1" priority="12" operator="greaterThan">
      <formula>$H$81</formula>
    </cfRule>
  </conditionalFormatting>
  <conditionalFormatting sqref="H92">
    <cfRule type="cellIs" dxfId="1" priority="13" operator="greaterThan">
      <formula>$H$91</formula>
    </cfRule>
  </conditionalFormatting>
  <conditionalFormatting sqref="H112">
    <cfRule type="cellIs" dxfId="1" priority="14" operator="greaterThan">
      <formula>$H$111</formula>
    </cfRule>
  </conditionalFormatting>
  <conditionalFormatting sqref="H122">
    <cfRule type="cellIs" dxfId="1" priority="15" operator="greaterThan">
      <formula>$H$121</formula>
    </cfRule>
  </conditionalFormatting>
  <conditionalFormatting sqref="H102:L102">
    <cfRule type="cellIs" dxfId="1" priority="16" operator="greaterThan">
      <formula>$C$101</formula>
    </cfRule>
  </conditionalFormatting>
  <conditionalFormatting sqref="I72">
    <cfRule type="cellIs" dxfId="1" priority="17" operator="greaterThan">
      <formula>$I$70</formula>
    </cfRule>
  </conditionalFormatting>
  <conditionalFormatting sqref="I82">
    <cfRule type="cellIs" dxfId="1" priority="18" operator="greaterThan">
      <formula>$I$81</formula>
    </cfRule>
  </conditionalFormatting>
  <conditionalFormatting sqref="I92">
    <cfRule type="cellIs" dxfId="1" priority="19" operator="greaterThan">
      <formula>$I$91</formula>
    </cfRule>
  </conditionalFormatting>
  <conditionalFormatting sqref="I112">
    <cfRule type="cellIs" dxfId="1" priority="20" operator="greaterThan">
      <formula>$I$111</formula>
    </cfRule>
  </conditionalFormatting>
  <conditionalFormatting sqref="I122">
    <cfRule type="cellIs" dxfId="1" priority="21" operator="greaterThan">
      <formula>$I$121</formula>
    </cfRule>
  </conditionalFormatting>
  <conditionalFormatting sqref="J72">
    <cfRule type="cellIs" dxfId="1" priority="22" operator="greaterThan">
      <formula>$J$70</formula>
    </cfRule>
  </conditionalFormatting>
  <conditionalFormatting sqref="J82">
    <cfRule type="cellIs" dxfId="1" priority="23" operator="greaterThan">
      <formula>$J$81</formula>
    </cfRule>
  </conditionalFormatting>
  <conditionalFormatting sqref="J92">
    <cfRule type="cellIs" dxfId="1" priority="24" operator="greaterThan">
      <formula>$J$91</formula>
    </cfRule>
  </conditionalFormatting>
  <conditionalFormatting sqref="J112">
    <cfRule type="cellIs" dxfId="1" priority="25" operator="greaterThan">
      <formula>$J$111</formula>
    </cfRule>
  </conditionalFormatting>
  <conditionalFormatting sqref="J122">
    <cfRule type="cellIs" dxfId="1" priority="26" operator="greaterThan">
      <formula>$J$121</formula>
    </cfRule>
  </conditionalFormatting>
  <conditionalFormatting sqref="K72">
    <cfRule type="cellIs" dxfId="1" priority="27" operator="greaterThan">
      <formula>$K$70</formula>
    </cfRule>
  </conditionalFormatting>
  <conditionalFormatting sqref="K82">
    <cfRule type="cellIs" dxfId="1" priority="28" operator="greaterThan">
      <formula>$K$81</formula>
    </cfRule>
  </conditionalFormatting>
  <conditionalFormatting sqref="K92">
    <cfRule type="cellIs" dxfId="1" priority="29" operator="greaterThan">
      <formula>$K$91</formula>
    </cfRule>
  </conditionalFormatting>
  <conditionalFormatting sqref="K112">
    <cfRule type="cellIs" dxfId="1" priority="30" operator="greaterThan">
      <formula>$K$111</formula>
    </cfRule>
  </conditionalFormatting>
  <conditionalFormatting sqref="K122">
    <cfRule type="cellIs" dxfId="1" priority="31" operator="greaterThan">
      <formula>$K$121</formula>
    </cfRule>
  </conditionalFormatting>
  <conditionalFormatting sqref="L72">
    <cfRule type="cellIs" dxfId="1" priority="32" operator="greaterThan">
      <formula>$L$70</formula>
    </cfRule>
  </conditionalFormatting>
  <conditionalFormatting sqref="L82">
    <cfRule type="cellIs" dxfId="1" priority="33" operator="greaterThan">
      <formula>$L$81</formula>
    </cfRule>
  </conditionalFormatting>
  <conditionalFormatting sqref="L92">
    <cfRule type="cellIs" dxfId="1" priority="34" operator="greaterThan">
      <formula>$L$91</formula>
    </cfRule>
  </conditionalFormatting>
  <conditionalFormatting sqref="L112">
    <cfRule type="cellIs" dxfId="1" priority="35" operator="greaterThan">
      <formula>$L$111</formula>
    </cfRule>
  </conditionalFormatting>
  <conditionalFormatting sqref="L122">
    <cfRule type="cellIs" dxfId="1" priority="36" operator="greaterThan">
      <formula>$L$121</formula>
    </cfRule>
  </conditionalFormatting>
  <hyperlinks>
    <hyperlink r:id="rId1" location="step-1-assign-accounts-articulate-vulnerabilities-and-strategies-to-manage-vulnerability" ref="N4"/>
    <hyperlink r:id="rId2" location="1a-explain-cell-types" ref="N12"/>
    <hyperlink r:id="rId3" location="1b-make-assumptions" ref="N17"/>
    <hyperlink r:id="rId4" location="i-evaporation-rates" ref="N18"/>
    <hyperlink r:id="rId5" ref="F19"/>
    <hyperlink r:id="rId6" location="ii-start-storage" ref="N19"/>
    <hyperlink r:id="rId7" location="iii-protection-elevation" ref="N20"/>
    <hyperlink r:id="rId8" location="iv-storage-above-protect-zone" ref="N21"/>
    <hyperlink r:id="rId9" location="v-water-conservation-program-ics-total-balance" ref="N22"/>
    <hyperlink r:id="rId10" location="vi-remaining-storage-above-the-protect-and-ics-balances" ref="N23"/>
    <hyperlink r:id="rId11" location="vii-percent-of-tribal-nation-water-in-california" ref="N24"/>
    <hyperlink r:id="rId12" location="vii-percent-of-tribal-nation-water-in-arizona" ref="N25"/>
    <hyperlink r:id="rId13" location="step-2-specify-lake-mead-inflow" ref="N28"/>
    <hyperlink r:id="rId14" location="2a-intervening-grand-canyon-flow" ref="N29"/>
    <hyperlink r:id="rId15" location="2b-mead-to-imperial-dam-intervening-flow" ref="N30"/>
    <hyperlink r:id="rId16" location="2c-havasuparker-evaporation-and-evapotranspiration" ref="N31"/>
    <hyperlink r:id="rId17" location="step-3-split-existing-lake-mead-storage-among-accounts-year-1-only" ref="N35"/>
    <hyperlink r:id="rId18" location="3a-begin-of-year-reservoir-storage" ref="N42"/>
    <hyperlink r:id="rId19" location="3b-calculate-mead-evaporation" ref="N45"/>
    <hyperlink r:id="rId20" location="split-lake-mead-inflow-among-accounts" ref="N52"/>
    <hyperlink r:id="rId21" location="step-5-participant-dashboards--conserve-consume-and-trade" ref="N63"/>
    <hyperlink r:id="rId22" location="i-buy-or-sell-water-from-other-participantss" ref="N66"/>
    <hyperlink r:id="rId23" location="ii-pricing" ref="N67"/>
    <hyperlink r:id="rId24" location="iii-compensation" ref="N68"/>
    <hyperlink r:id="rId25" location="iv-net-trade-volume-all-participants" ref="N69"/>
    <hyperlink r:id="rId26" location="v-available-water" ref="N70"/>
    <hyperlink r:id="rId27" location="vi-enter-withdraw-within-available-water" ref="N72"/>
    <hyperlink r:id="rId28" location="vii-end-of-year-balance" ref="N73"/>
    <hyperlink r:id="rId29" location="step-5-participant-dashboards--conserve-consume-and-trade" ref="N75"/>
    <hyperlink r:id="rId30" location="i-buy-or-sell-water-from-other-participantss" ref="N77"/>
    <hyperlink r:id="rId31" location="ii-pricing" ref="N78"/>
    <hyperlink r:id="rId32" location="iii-compensation" ref="N79"/>
    <hyperlink r:id="rId33" location="iv-net-trade-volume-all-participants" ref="N80"/>
    <hyperlink r:id="rId34" location="v-available-water" ref="N81"/>
    <hyperlink r:id="rId35" location="vi-enter-withdraw-within-available-water" ref="N82"/>
    <hyperlink r:id="rId36" location="vii-end-of-year-balance" ref="N83"/>
    <hyperlink r:id="rId37" location="step-5-participant-dashboards--conserve-consume-and-trade" ref="N85"/>
    <hyperlink r:id="rId38" location="i-buy-or-sell-water-from-other-participantss" ref="N87"/>
    <hyperlink r:id="rId39" location="ii-pricing" ref="N88"/>
    <hyperlink r:id="rId40" location="iii-compensation" ref="N89"/>
    <hyperlink r:id="rId41" location="iv-net-trade-volume-all-participants" ref="N90"/>
    <hyperlink r:id="rId42" location="v-available-water" ref="N91"/>
    <hyperlink r:id="rId43" location="vi-enter-withdraw-within-available-water" ref="N92"/>
    <hyperlink r:id="rId44" location="vii-end-of-year-balance" ref="N93"/>
    <hyperlink r:id="rId45" location="step-5-participant-dashboards--conserve-consume-and-trade" ref="N95"/>
    <hyperlink r:id="rId46" location="i-buy-or-sell-water-from-other-participantss" ref="N97"/>
    <hyperlink r:id="rId47" location="ii-pricing" ref="N98"/>
    <hyperlink r:id="rId48" location="iii-compensation" ref="N99"/>
    <hyperlink r:id="rId49" location="iv-net-trade-volume-all-participants" ref="N100"/>
    <hyperlink r:id="rId50" location="v-available-water" ref="N101"/>
    <hyperlink r:id="rId51" location="vi-enter-withdraw-within-available-water" ref="N102"/>
    <hyperlink r:id="rId52" location="vii-end-of-year-balance" ref="N103"/>
    <hyperlink r:id="rId53" location="step-5-participant-dashboards--conserve-consume-and-trade" ref="N105"/>
    <hyperlink r:id="rId54" location="i-buy-or-sell-water-from-other-participantss" ref="N107"/>
    <hyperlink r:id="rId55" location="ii-pricing" ref="N108"/>
    <hyperlink r:id="rId56" location="iii-compensation" ref="N109"/>
    <hyperlink r:id="rId57" location="iv-net-trade-volume-all-participants" ref="N110"/>
    <hyperlink r:id="rId58" location="v-available-water" ref="N111"/>
    <hyperlink r:id="rId59" location="vi-enter-withdraw-within-available-water" ref="N112"/>
    <hyperlink r:id="rId60" location="vii-end-of-year-balance" ref="N113"/>
    <hyperlink r:id="rId61" location="step-5-participant-dashboards--conserve-consume-and-trade" ref="N115"/>
    <hyperlink r:id="rId62" location="i-buy-or-sell-water-from-other-participantss" ref="N117"/>
    <hyperlink r:id="rId63" location="ii-pricing" ref="N118"/>
    <hyperlink r:id="rId64" location="iii-compensation" ref="N119"/>
    <hyperlink r:id="rId65" location="iv-net-trade-volume-all-participants" ref="N120"/>
    <hyperlink r:id="rId66" location="v-available-water" ref="N121"/>
    <hyperlink r:id="rId67" location="vi-enter-withdraw-within-available-water" ref="N122"/>
    <hyperlink r:id="rId68" location="vii-end-of-year-balance" ref="N123"/>
    <hyperlink r:id="rId69" location="step-6-summary-of-participant-actions" ref="N125"/>
    <hyperlink r:id="rId70" location="lake-mead--end-of-year" ref="N148"/>
    <hyperlink r:id="rId71" location="step-7-move-to-next-year" ref="N151"/>
  </hyperlinks>
  <printOptions/>
  <pageMargins bottom="0.75" footer="0.0" header="0.0" left="0.7" right="0.7" top="0.75"/>
  <pageSetup orientation="landscape"/>
  <drawing r:id="rId7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2" width="14.43"/>
    <col customWidth="1" min="3" max="3" width="8.14"/>
    <col customWidth="1" min="4" max="4" width="9.86"/>
    <col customWidth="1" min="5" max="5" width="10.71"/>
    <col customWidth="1" min="6" max="6" width="7.71"/>
    <col customWidth="1" min="7" max="7" width="7.14"/>
    <col customWidth="1" min="8" max="8" width="8.0"/>
    <col customWidth="1" min="9" max="9" width="6.14"/>
    <col customWidth="1" min="10" max="10" width="13.43"/>
    <col customWidth="1" min="11" max="11" width="12.14"/>
    <col customWidth="1" min="12" max="12" width="7.71"/>
    <col customWidth="1" min="13" max="13" width="7.86"/>
    <col customWidth="1" min="14" max="14" width="10.14"/>
    <col customWidth="1" min="15" max="15" width="8.86"/>
    <col customWidth="1" min="16" max="16" width="6.86"/>
    <col customWidth="1" min="17" max="18" width="8.86"/>
    <col customWidth="1" min="19" max="19" width="9.29"/>
    <col customWidth="1" min="20" max="20" width="10.29"/>
    <col customWidth="1" min="21" max="21" width="7.29"/>
    <col customWidth="1" min="22" max="22" width="8.86"/>
    <col customWidth="1" min="23" max="23" width="10.14"/>
    <col customWidth="1" min="24" max="24" width="8.86"/>
    <col customWidth="1" min="25" max="25" width="7.0"/>
    <col customWidth="1" min="26" max="26" width="9.86"/>
    <col customWidth="1" min="27" max="27" width="8.14"/>
    <col customWidth="1" min="28" max="29" width="11.71"/>
    <col customWidth="1" min="30" max="30" width="9.86"/>
    <col customWidth="1" min="31" max="34" width="8.86"/>
    <col customWidth="1" min="35" max="36" width="10.0"/>
    <col customWidth="1" min="37" max="40" width="8.86"/>
    <col customWidth="1" min="41" max="42" width="7.29"/>
    <col customWidth="1" min="43" max="43" width="7.0"/>
    <col customWidth="1" min="44" max="44" width="8.86"/>
  </cols>
  <sheetData>
    <row r="1">
      <c r="A1" s="11" t="s">
        <v>106</v>
      </c>
      <c r="U1" s="8"/>
    </row>
    <row r="2">
      <c r="A2" s="68" t="s">
        <v>109</v>
      </c>
      <c r="U2" s="8"/>
    </row>
    <row r="3">
      <c r="A3" s="68" t="s">
        <v>111</v>
      </c>
      <c r="U3" s="8"/>
    </row>
    <row r="4" ht="15.0" customHeight="1">
      <c r="U4" s="8"/>
    </row>
    <row r="5" ht="30.75" customHeight="1">
      <c r="B5" s="99" t="s">
        <v>114</v>
      </c>
      <c r="C5" s="99" t="s">
        <v>59</v>
      </c>
      <c r="D5" s="99" t="s">
        <v>62</v>
      </c>
      <c r="E5" s="99" t="s">
        <v>55</v>
      </c>
      <c r="F5" s="99" t="s">
        <v>65</v>
      </c>
      <c r="G5" s="99" t="s">
        <v>116</v>
      </c>
      <c r="I5" s="101" t="s">
        <v>117</v>
      </c>
      <c r="J5" s="29"/>
      <c r="K5" s="29"/>
      <c r="L5" s="29"/>
      <c r="M5" s="29"/>
      <c r="N5" s="29"/>
      <c r="O5" s="29"/>
      <c r="P5" s="29"/>
      <c r="Q5" s="29"/>
      <c r="R5" s="29"/>
      <c r="S5" s="29"/>
      <c r="T5" s="29"/>
      <c r="U5" s="29"/>
      <c r="V5" s="29"/>
      <c r="W5" s="31"/>
      <c r="Y5" s="103"/>
      <c r="Z5" s="103"/>
      <c r="AA5" s="103"/>
      <c r="AB5" s="104"/>
    </row>
    <row r="6" ht="27.0" customHeight="1">
      <c r="A6" s="105"/>
      <c r="B6" s="107" t="s">
        <v>123</v>
      </c>
      <c r="C6" s="29"/>
      <c r="D6" s="29"/>
      <c r="E6" s="29"/>
      <c r="F6" s="29"/>
      <c r="G6" s="31"/>
      <c r="H6" s="105"/>
      <c r="I6" s="110" t="s">
        <v>126</v>
      </c>
      <c r="J6" s="111" t="s">
        <v>133</v>
      </c>
      <c r="K6" s="111" t="s">
        <v>137</v>
      </c>
      <c r="L6" s="113" t="s">
        <v>138</v>
      </c>
      <c r="M6" s="29"/>
      <c r="N6" s="29"/>
      <c r="O6" s="29"/>
      <c r="P6" s="29"/>
      <c r="Q6" s="31"/>
      <c r="R6" s="115" t="s">
        <v>140</v>
      </c>
      <c r="S6" s="29"/>
      <c r="T6" s="29"/>
      <c r="U6" s="29"/>
      <c r="V6" s="29"/>
      <c r="W6" s="31"/>
      <c r="X6" s="105"/>
      <c r="Y6" s="117"/>
      <c r="Z6" s="117"/>
      <c r="AA6" s="117"/>
      <c r="AB6" s="119"/>
      <c r="AC6" s="105"/>
      <c r="AD6" s="105"/>
      <c r="AE6" s="105"/>
      <c r="AF6" s="105"/>
      <c r="AG6" s="105"/>
      <c r="AH6" s="105"/>
      <c r="AI6" s="105"/>
      <c r="AJ6" s="105"/>
      <c r="AK6" s="105"/>
      <c r="AL6" s="105"/>
      <c r="AM6" s="105"/>
      <c r="AN6" s="105"/>
      <c r="AO6" s="105"/>
      <c r="AP6" s="105"/>
      <c r="AQ6" s="105"/>
      <c r="AR6" s="105"/>
    </row>
    <row r="7" ht="43.5" customHeight="1">
      <c r="A7" s="105"/>
      <c r="B7" s="121">
        <v>0.0</v>
      </c>
      <c r="C7" s="122">
        <v>0.0</v>
      </c>
      <c r="D7" s="122">
        <v>0.0</v>
      </c>
      <c r="E7" s="122">
        <v>0.0</v>
      </c>
      <c r="F7" s="122">
        <v>0.0</v>
      </c>
      <c r="G7" s="122">
        <f t="shared" ref="G7:G9" si="1">SUM(C7:F7)</f>
        <v>0</v>
      </c>
      <c r="H7" s="105"/>
      <c r="I7" s="126"/>
      <c r="J7" s="126"/>
      <c r="K7" s="126"/>
      <c r="L7" s="127" t="s">
        <v>146</v>
      </c>
      <c r="M7" s="127" t="s">
        <v>149</v>
      </c>
      <c r="N7" s="127" t="s">
        <v>150</v>
      </c>
      <c r="O7" s="127" t="s">
        <v>151</v>
      </c>
      <c r="P7" s="127" t="s">
        <v>152</v>
      </c>
      <c r="Q7" s="128" t="s">
        <v>153</v>
      </c>
      <c r="R7" s="129" t="s">
        <v>154</v>
      </c>
      <c r="S7" s="129" t="s">
        <v>155</v>
      </c>
      <c r="T7" s="129" t="s">
        <v>156</v>
      </c>
      <c r="U7" s="129" t="s">
        <v>157</v>
      </c>
      <c r="V7" s="129" t="s">
        <v>152</v>
      </c>
      <c r="W7" s="131" t="s">
        <v>158</v>
      </c>
      <c r="X7" s="105"/>
      <c r="Y7" s="132"/>
      <c r="Z7" s="133"/>
      <c r="AA7" s="133"/>
      <c r="AB7" s="133"/>
      <c r="AC7" s="105"/>
      <c r="AD7" s="105"/>
      <c r="AE7" s="105"/>
      <c r="AF7" s="105"/>
      <c r="AG7" s="105"/>
      <c r="AH7" s="105"/>
      <c r="AI7" s="105"/>
      <c r="AJ7" s="105"/>
      <c r="AK7" s="105"/>
      <c r="AL7" s="105"/>
      <c r="AM7" s="105"/>
      <c r="AN7" s="105"/>
      <c r="AO7" s="105"/>
      <c r="AP7" s="105"/>
      <c r="AQ7" s="105"/>
      <c r="AR7" s="105"/>
    </row>
    <row r="8">
      <c r="A8" s="103"/>
      <c r="B8" s="121" t="s">
        <v>160</v>
      </c>
      <c r="C8" s="122">
        <v>0.8</v>
      </c>
      <c r="D8" s="122">
        <v>0.0333</v>
      </c>
      <c r="E8" s="122">
        <v>0.0</v>
      </c>
      <c r="F8" s="122">
        <v>0.1667</v>
      </c>
      <c r="G8" s="122">
        <f t="shared" si="1"/>
        <v>1</v>
      </c>
      <c r="H8" s="103"/>
      <c r="I8" s="134" t="s">
        <v>161</v>
      </c>
      <c r="J8" s="135">
        <v>0.0</v>
      </c>
      <c r="K8" s="135">
        <v>9.0</v>
      </c>
      <c r="L8" s="136">
        <f>L22-(P8*TribalWater!$H$6)</f>
        <v>2.016866</v>
      </c>
      <c r="M8" s="136">
        <f>M22-(P8*TribalWater!$H$5)</f>
        <v>0.287466</v>
      </c>
      <c r="N8" s="136">
        <f>N22-(P8*TribalWater!$H$7)</f>
        <v>4.243478</v>
      </c>
      <c r="O8" s="136">
        <f>O22</f>
        <v>1.5</v>
      </c>
      <c r="P8" s="136">
        <f>TribalWater!$G$8/1000000</f>
        <v>0.95219</v>
      </c>
      <c r="Q8" s="135">
        <f t="shared" ref="Q8:Q17" si="3">SUM(L8:P8)</f>
        <v>9</v>
      </c>
      <c r="R8" s="138">
        <f t="shared" ref="R8:V8" si="2">L8/$K8</f>
        <v>0.2240962222</v>
      </c>
      <c r="S8" s="138">
        <f t="shared" si="2"/>
        <v>0.03194066667</v>
      </c>
      <c r="T8" s="138">
        <f t="shared" si="2"/>
        <v>0.4714975556</v>
      </c>
      <c r="U8" s="138">
        <f t="shared" si="2"/>
        <v>0.1666666667</v>
      </c>
      <c r="V8" s="138">
        <f t="shared" si="2"/>
        <v>0.1057988889</v>
      </c>
      <c r="W8" s="140">
        <f t="shared" ref="W8:W17" si="5">SUM(R8:V8)</f>
        <v>1</v>
      </c>
      <c r="X8" s="103" t="s">
        <v>176</v>
      </c>
      <c r="Y8" s="132"/>
      <c r="Z8" s="103"/>
      <c r="AA8" s="103"/>
      <c r="AB8" s="103"/>
      <c r="AC8" s="103"/>
      <c r="AD8" s="103"/>
      <c r="AE8" s="103"/>
      <c r="AF8" s="103"/>
      <c r="AG8" s="103"/>
      <c r="AH8" s="103"/>
      <c r="AI8" s="103"/>
      <c r="AJ8" s="103"/>
      <c r="AK8" s="103"/>
      <c r="AL8" s="103"/>
      <c r="AM8" s="103"/>
      <c r="AN8" s="103"/>
      <c r="AO8" s="103"/>
      <c r="AP8" s="103"/>
      <c r="AQ8" s="103"/>
      <c r="AR8" s="103"/>
    </row>
    <row r="9">
      <c r="A9" s="103"/>
      <c r="B9" s="121" t="s">
        <v>177</v>
      </c>
      <c r="C9" s="122">
        <v>0.4333</v>
      </c>
      <c r="D9" s="122">
        <v>0.0333</v>
      </c>
      <c r="E9" s="122">
        <v>0.3667</v>
      </c>
      <c r="F9" s="122">
        <v>0.1667</v>
      </c>
      <c r="G9" s="122">
        <f t="shared" si="1"/>
        <v>1</v>
      </c>
      <c r="H9" s="103"/>
      <c r="I9" s="141" t="s">
        <v>179</v>
      </c>
      <c r="J9" s="142">
        <v>0.3</v>
      </c>
      <c r="K9" s="142">
        <v>8.7</v>
      </c>
      <c r="L9" s="143">
        <f>L23-(P9*TribalWater!$H$6)</f>
        <v>1.912980467</v>
      </c>
      <c r="M9" s="143">
        <f>M23-(P9*TribalWater!$H$5)</f>
        <v>0.2778938</v>
      </c>
      <c r="N9" s="143">
        <f>N23-(P9*TribalWater!$H$7)</f>
        <v>4.1386854</v>
      </c>
      <c r="O9" s="143">
        <f t="shared" ref="O9:O17" si="6">U9*K9</f>
        <v>1.45</v>
      </c>
      <c r="P9" s="143">
        <f t="shared" ref="P9:P17" si="7">V9*K9</f>
        <v>0.9204503333</v>
      </c>
      <c r="Q9" s="142">
        <f t="shared" si="3"/>
        <v>8.70001</v>
      </c>
      <c r="R9" s="145">
        <f t="shared" ref="R9:S9" si="4">L9/$K9</f>
        <v>0.2198828123</v>
      </c>
      <c r="S9" s="145">
        <f t="shared" si="4"/>
        <v>0.03194181609</v>
      </c>
      <c r="T9" s="145">
        <f t="shared" ref="T9:T17" si="9">N9/K9</f>
        <v>0.4757109655</v>
      </c>
      <c r="U9" s="145">
        <v>0.16666666666666666</v>
      </c>
      <c r="V9" s="145">
        <v>0.10579888888888889</v>
      </c>
      <c r="W9" s="147">
        <f t="shared" si="5"/>
        <v>1.000001149</v>
      </c>
      <c r="X9" s="103"/>
      <c r="Y9" s="103"/>
      <c r="Z9" s="103"/>
      <c r="AA9" s="103"/>
      <c r="AB9" s="103"/>
      <c r="AC9" s="103"/>
      <c r="AD9" s="103"/>
      <c r="AE9" s="103"/>
      <c r="AF9" s="103"/>
      <c r="AG9" s="103"/>
      <c r="AH9" s="103"/>
      <c r="AI9" s="103"/>
      <c r="AJ9" s="103"/>
      <c r="AK9" s="103"/>
      <c r="AL9" s="103"/>
      <c r="AM9" s="103"/>
      <c r="AN9" s="103"/>
      <c r="AO9" s="103"/>
      <c r="AP9" s="103"/>
      <c r="AQ9" s="103"/>
      <c r="AR9" s="103"/>
    </row>
    <row r="10">
      <c r="A10" s="103"/>
      <c r="B10" s="149" t="s">
        <v>187</v>
      </c>
      <c r="C10" s="29"/>
      <c r="D10" s="29"/>
      <c r="E10" s="29"/>
      <c r="F10" s="29"/>
      <c r="G10" s="31"/>
      <c r="H10" s="103"/>
      <c r="I10" s="141" t="s">
        <v>190</v>
      </c>
      <c r="J10" s="142">
        <v>0.4</v>
      </c>
      <c r="K10" s="142">
        <v>8.6</v>
      </c>
      <c r="L10" s="143">
        <f>L24-(P10*TribalWater!$H$6)</f>
        <v>1.878351956</v>
      </c>
      <c r="M10" s="143">
        <f>M24-(P10*TribalWater!$H$5)</f>
        <v>0.2747030667</v>
      </c>
      <c r="N10" s="143">
        <f>N24-(P10*TribalWater!$H$7)</f>
        <v>4.103754533</v>
      </c>
      <c r="O10" s="143">
        <f t="shared" si="6"/>
        <v>1.433333333</v>
      </c>
      <c r="P10" s="143">
        <f t="shared" si="7"/>
        <v>0.9098704444</v>
      </c>
      <c r="Q10" s="142">
        <f t="shared" si="3"/>
        <v>8.600013333</v>
      </c>
      <c r="R10" s="145">
        <f t="shared" ref="R10:S10" si="8">L10/$K10</f>
        <v>0.2184130181</v>
      </c>
      <c r="S10" s="145">
        <f t="shared" si="8"/>
        <v>0.03194221705</v>
      </c>
      <c r="T10" s="145">
        <f t="shared" si="9"/>
        <v>0.4771807597</v>
      </c>
      <c r="U10" s="145">
        <v>0.16666666666666666</v>
      </c>
      <c r="V10" s="145">
        <v>0.10579888888888889</v>
      </c>
      <c r="W10" s="147">
        <f t="shared" si="5"/>
        <v>1.00000155</v>
      </c>
      <c r="X10" s="103"/>
      <c r="Y10" s="103"/>
      <c r="Z10" s="103"/>
      <c r="AA10" s="103"/>
      <c r="AB10" s="103"/>
      <c r="AC10" s="103"/>
      <c r="AD10" s="103"/>
      <c r="AE10" s="103"/>
      <c r="AF10" s="103"/>
      <c r="AG10" s="103"/>
      <c r="AH10" s="103"/>
      <c r="AI10" s="103"/>
      <c r="AJ10" s="103"/>
      <c r="AK10" s="103"/>
      <c r="AL10" s="103"/>
      <c r="AM10" s="103"/>
      <c r="AN10" s="103"/>
      <c r="AO10" s="103"/>
      <c r="AP10" s="103"/>
      <c r="AQ10" s="103"/>
      <c r="AR10" s="103"/>
    </row>
    <row r="11">
      <c r="A11" s="103"/>
      <c r="B11" s="121">
        <v>0.0</v>
      </c>
      <c r="C11" s="121">
        <v>0.0</v>
      </c>
      <c r="D11" s="121">
        <v>0.0</v>
      </c>
      <c r="E11" s="121">
        <v>0.0</v>
      </c>
      <c r="F11" s="121">
        <v>0.0</v>
      </c>
      <c r="G11" s="121">
        <f t="shared" ref="G11:G15" si="12">SUM(C11:F11)</f>
        <v>0</v>
      </c>
      <c r="H11" s="103"/>
      <c r="I11" s="141" t="s">
        <v>196</v>
      </c>
      <c r="J11" s="142">
        <v>1.0</v>
      </c>
      <c r="K11" s="142">
        <v>8.0</v>
      </c>
      <c r="L11" s="143">
        <f>L25-(P11*TribalWater!$H$6)</f>
        <v>1.670580889</v>
      </c>
      <c r="M11" s="143">
        <f>M25-(P11*TribalWater!$H$5)</f>
        <v>0.2555586667</v>
      </c>
      <c r="N11" s="143">
        <f>N25-(P11*TribalWater!$H$7)</f>
        <v>3.894169333</v>
      </c>
      <c r="O11" s="143">
        <f t="shared" si="6"/>
        <v>1.333333333</v>
      </c>
      <c r="P11" s="143">
        <f t="shared" si="7"/>
        <v>0.8463911111</v>
      </c>
      <c r="Q11" s="142">
        <f t="shared" si="3"/>
        <v>8.000033333</v>
      </c>
      <c r="R11" s="145">
        <f t="shared" ref="R11:S11" si="10">L11/$K11</f>
        <v>0.2088226111</v>
      </c>
      <c r="S11" s="145">
        <f t="shared" si="10"/>
        <v>0.03194483333</v>
      </c>
      <c r="T11" s="145">
        <f t="shared" si="9"/>
        <v>0.4867711667</v>
      </c>
      <c r="U11" s="145">
        <v>0.16666666666666666</v>
      </c>
      <c r="V11" s="145">
        <v>0.10579888888888889</v>
      </c>
      <c r="W11" s="147">
        <f t="shared" si="5"/>
        <v>1.000004167</v>
      </c>
      <c r="X11" s="103"/>
      <c r="Y11" s="103"/>
      <c r="Z11" s="103"/>
      <c r="AA11" s="103"/>
      <c r="AB11" s="103"/>
      <c r="AC11" s="103"/>
      <c r="AD11" s="103"/>
      <c r="AE11" s="103"/>
      <c r="AF11" s="103"/>
      <c r="AG11" s="103"/>
      <c r="AH11" s="103"/>
      <c r="AI11" s="103"/>
      <c r="AJ11" s="103"/>
      <c r="AK11" s="103"/>
      <c r="AL11" s="103"/>
      <c r="AM11" s="103"/>
      <c r="AN11" s="103"/>
      <c r="AO11" s="170"/>
      <c r="AP11" s="103"/>
      <c r="AQ11" s="103"/>
      <c r="AR11" s="103"/>
    </row>
    <row r="12">
      <c r="A12" s="103"/>
      <c r="B12" s="121">
        <v>0.3</v>
      </c>
      <c r="C12" s="171">
        <f t="shared" ref="C12:F12" si="11">$B12*C$9</f>
        <v>0.12999</v>
      </c>
      <c r="D12" s="171">
        <f t="shared" si="11"/>
        <v>0.00999</v>
      </c>
      <c r="E12" s="171">
        <f t="shared" si="11"/>
        <v>0.11001</v>
      </c>
      <c r="F12" s="171">
        <f t="shared" si="11"/>
        <v>0.05001</v>
      </c>
      <c r="G12" s="171">
        <f t="shared" si="12"/>
        <v>0.3</v>
      </c>
      <c r="H12" s="103"/>
      <c r="I12" s="172" t="s">
        <v>215</v>
      </c>
      <c r="J12" s="173">
        <v>1.5</v>
      </c>
      <c r="K12" s="173">
        <v>7.5</v>
      </c>
      <c r="L12" s="176">
        <f>L26-(P12*TribalWater!$H$6)</f>
        <v>1.497438333</v>
      </c>
      <c r="M12" s="176">
        <f>M26-(P12*TribalWater!$H$5)</f>
        <v>0.239605</v>
      </c>
      <c r="N12" s="176">
        <f>N26-(P12*TribalWater!$H$7)</f>
        <v>3.719515</v>
      </c>
      <c r="O12" s="176">
        <f t="shared" si="6"/>
        <v>1.25</v>
      </c>
      <c r="P12" s="176">
        <f t="shared" si="7"/>
        <v>0.7934916667</v>
      </c>
      <c r="Q12" s="173">
        <f t="shared" si="3"/>
        <v>7.50005</v>
      </c>
      <c r="R12" s="179">
        <f t="shared" ref="R12:S12" si="13">L12/$K12</f>
        <v>0.1996584444</v>
      </c>
      <c r="S12" s="179">
        <f t="shared" si="13"/>
        <v>0.03194733333</v>
      </c>
      <c r="T12" s="179">
        <f t="shared" si="9"/>
        <v>0.4959353333</v>
      </c>
      <c r="U12" s="179">
        <v>0.16666666666666666</v>
      </c>
      <c r="V12" s="179">
        <v>0.10579888888888889</v>
      </c>
      <c r="W12" s="180">
        <f t="shared" si="5"/>
        <v>1.000006667</v>
      </c>
      <c r="X12" s="103" t="s">
        <v>224</v>
      </c>
      <c r="Y12" s="103"/>
      <c r="Z12" s="103"/>
      <c r="AA12" s="103"/>
      <c r="AB12" s="103"/>
      <c r="AC12" s="103"/>
      <c r="AD12" s="103"/>
      <c r="AE12" s="103"/>
      <c r="AF12" s="103"/>
      <c r="AG12" s="103"/>
      <c r="AH12" s="103"/>
      <c r="AI12" s="103"/>
      <c r="AJ12" s="103"/>
      <c r="AK12" s="103"/>
      <c r="AL12" s="103"/>
      <c r="AM12" s="103"/>
      <c r="AN12" s="103"/>
      <c r="AO12" s="103"/>
      <c r="AP12" s="182"/>
      <c r="AQ12" s="182"/>
      <c r="AR12" s="182"/>
    </row>
    <row r="13">
      <c r="A13" s="103"/>
      <c r="B13" s="121">
        <v>0.4</v>
      </c>
      <c r="C13" s="171">
        <f t="shared" ref="C13:F13" si="14">$B13*C$9</f>
        <v>0.17332</v>
      </c>
      <c r="D13" s="171">
        <f t="shared" si="14"/>
        <v>0.01332</v>
      </c>
      <c r="E13" s="171">
        <f t="shared" si="14"/>
        <v>0.14668</v>
      </c>
      <c r="F13" s="171">
        <f t="shared" si="14"/>
        <v>0.06668</v>
      </c>
      <c r="G13" s="171">
        <f t="shared" si="12"/>
        <v>0.4</v>
      </c>
      <c r="H13" s="103"/>
      <c r="I13" s="141" t="s">
        <v>226</v>
      </c>
      <c r="J13" s="142">
        <v>2.7</v>
      </c>
      <c r="K13" s="142">
        <v>6.3</v>
      </c>
      <c r="L13" s="143">
        <f>L27-(P13*TribalWater!$H$6)</f>
        <v>1.0818962</v>
      </c>
      <c r="M13" s="143">
        <f>M27-(P13*TribalWater!$H$5)</f>
        <v>0.2013162</v>
      </c>
      <c r="N13" s="143">
        <f>N27-(P13*TribalWater!$H$7)</f>
        <v>3.3003446</v>
      </c>
      <c r="O13" s="143">
        <f t="shared" si="6"/>
        <v>1.05</v>
      </c>
      <c r="P13" s="143">
        <f t="shared" si="7"/>
        <v>0.666533</v>
      </c>
      <c r="Q13" s="142">
        <f t="shared" si="3"/>
        <v>6.30009</v>
      </c>
      <c r="R13" s="145">
        <f t="shared" ref="R13:S13" si="15">L13/$K13</f>
        <v>0.1717295556</v>
      </c>
      <c r="S13" s="145">
        <f t="shared" si="15"/>
        <v>0.03195495238</v>
      </c>
      <c r="T13" s="145">
        <f t="shared" si="9"/>
        <v>0.5238642222</v>
      </c>
      <c r="U13" s="145">
        <v>0.16666666666666666</v>
      </c>
      <c r="V13" s="145">
        <v>0.10579888888888889</v>
      </c>
      <c r="W13" s="147">
        <f t="shared" si="5"/>
        <v>1.000014286</v>
      </c>
      <c r="X13" s="103"/>
      <c r="Y13" s="103"/>
      <c r="Z13" s="103"/>
      <c r="AA13" s="103"/>
      <c r="AB13" s="103"/>
      <c r="AC13" s="103"/>
      <c r="AD13" s="103"/>
      <c r="AE13" s="103"/>
      <c r="AF13" s="103"/>
      <c r="AG13" s="103"/>
      <c r="AH13" s="103"/>
      <c r="AI13" s="103"/>
      <c r="AJ13" s="103"/>
      <c r="AK13" s="103"/>
      <c r="AL13" s="103"/>
      <c r="AM13" s="103"/>
      <c r="AN13" s="103"/>
      <c r="AO13" s="103"/>
      <c r="AP13" s="182"/>
      <c r="AQ13" s="182"/>
      <c r="AR13" s="182"/>
    </row>
    <row r="14">
      <c r="A14" s="103"/>
      <c r="B14" s="121">
        <v>1.0</v>
      </c>
      <c r="C14" s="171">
        <f t="shared" ref="C14:F14" si="16">$B14*C$9</f>
        <v>0.4333</v>
      </c>
      <c r="D14" s="171">
        <f t="shared" si="16"/>
        <v>0.0333</v>
      </c>
      <c r="E14" s="171">
        <f t="shared" si="16"/>
        <v>0.3667</v>
      </c>
      <c r="F14" s="171">
        <f t="shared" si="16"/>
        <v>0.1667</v>
      </c>
      <c r="G14" s="171">
        <f t="shared" si="12"/>
        <v>1</v>
      </c>
      <c r="H14" s="103"/>
      <c r="I14" s="141" t="s">
        <v>234</v>
      </c>
      <c r="J14" s="142">
        <v>4.0</v>
      </c>
      <c r="K14" s="142">
        <v>5.0</v>
      </c>
      <c r="L14" s="143">
        <f>L28-(P14*TribalWater!$H$6)</f>
        <v>0.6317255556</v>
      </c>
      <c r="M14" s="143">
        <f>M28-(P14*TribalWater!$H$5)</f>
        <v>0.1598366667</v>
      </c>
      <c r="N14" s="143">
        <f>N28-(P14*TribalWater!$H$7)</f>
        <v>2.846243333</v>
      </c>
      <c r="O14" s="143">
        <f t="shared" si="6"/>
        <v>0.8333333333</v>
      </c>
      <c r="P14" s="143">
        <f t="shared" si="7"/>
        <v>0.5289944444</v>
      </c>
      <c r="Q14" s="142">
        <f t="shared" si="3"/>
        <v>5.000133333</v>
      </c>
      <c r="R14" s="145">
        <f t="shared" ref="R14:S14" si="17">L14/$K14</f>
        <v>0.1263451111</v>
      </c>
      <c r="S14" s="145">
        <f t="shared" si="17"/>
        <v>0.03196733333</v>
      </c>
      <c r="T14" s="145">
        <f t="shared" si="9"/>
        <v>0.5692486667</v>
      </c>
      <c r="U14" s="145">
        <v>0.16666666666666666</v>
      </c>
      <c r="V14" s="145">
        <v>0.10579888888888889</v>
      </c>
      <c r="W14" s="147">
        <f t="shared" si="5"/>
        <v>1.000026667</v>
      </c>
      <c r="X14" s="103"/>
      <c r="Y14" s="103"/>
      <c r="Z14" s="103"/>
      <c r="AA14" s="103"/>
      <c r="AB14" s="103"/>
      <c r="AC14" s="103"/>
      <c r="AD14" s="103"/>
      <c r="AE14" s="103"/>
      <c r="AF14" s="103"/>
      <c r="AG14" s="103"/>
      <c r="AH14" s="103"/>
      <c r="AI14" s="103"/>
      <c r="AJ14" s="103"/>
      <c r="AK14" s="103"/>
      <c r="AL14" s="103"/>
      <c r="AM14" s="103"/>
      <c r="AN14" s="103"/>
      <c r="AO14" s="103"/>
      <c r="AP14" s="103"/>
      <c r="AQ14" s="103"/>
      <c r="AR14" s="103"/>
    </row>
    <row r="15">
      <c r="A15" s="103"/>
      <c r="B15" s="121">
        <v>1.5</v>
      </c>
      <c r="C15" s="171">
        <f t="shared" ref="C15:F15" si="18">$B15*C$9</f>
        <v>0.64995</v>
      </c>
      <c r="D15" s="171">
        <f t="shared" si="18"/>
        <v>0.04995</v>
      </c>
      <c r="E15" s="171">
        <f t="shared" si="18"/>
        <v>0.55005</v>
      </c>
      <c r="F15" s="171">
        <f t="shared" si="18"/>
        <v>0.25005</v>
      </c>
      <c r="G15" s="171">
        <f t="shared" si="12"/>
        <v>1.5</v>
      </c>
      <c r="H15" s="103"/>
      <c r="I15" s="141" t="s">
        <v>240</v>
      </c>
      <c r="J15" s="142">
        <v>4.4</v>
      </c>
      <c r="K15" s="142">
        <v>4.6</v>
      </c>
      <c r="L15" s="143">
        <f>L29-(P15*TribalWater!$H$6)</f>
        <v>0.4932115111</v>
      </c>
      <c r="M15" s="143">
        <f>M29-(P15*TribalWater!$H$5)</f>
        <v>0.1470737333</v>
      </c>
      <c r="N15" s="143">
        <f>N29-(P15*TribalWater!$H$7)</f>
        <v>2.706519867</v>
      </c>
      <c r="O15" s="143">
        <f t="shared" si="6"/>
        <v>0.7666666667</v>
      </c>
      <c r="P15" s="143">
        <f t="shared" si="7"/>
        <v>0.4866748889</v>
      </c>
      <c r="Q15" s="142">
        <f t="shared" si="3"/>
        <v>4.600146667</v>
      </c>
      <c r="R15" s="145">
        <f t="shared" ref="R15:S15" si="19">L15/$K15</f>
        <v>0.1072198937</v>
      </c>
      <c r="S15" s="145">
        <f t="shared" si="19"/>
        <v>0.03197255072</v>
      </c>
      <c r="T15" s="145">
        <f t="shared" si="9"/>
        <v>0.5883738841</v>
      </c>
      <c r="U15" s="145">
        <v>0.16666666666666666</v>
      </c>
      <c r="V15" s="145">
        <v>0.10579888888888889</v>
      </c>
      <c r="W15" s="147">
        <f t="shared" si="5"/>
        <v>1.000031884</v>
      </c>
      <c r="X15" s="103"/>
      <c r="Y15" s="103"/>
      <c r="Z15" s="103"/>
      <c r="AA15" s="103"/>
      <c r="AB15" s="103"/>
      <c r="AC15" s="103"/>
      <c r="AD15" s="103"/>
      <c r="AE15" s="103"/>
      <c r="AF15" s="103"/>
      <c r="AG15" s="103"/>
      <c r="AH15" s="103"/>
      <c r="AI15" s="103"/>
      <c r="AJ15" s="103"/>
      <c r="AK15" s="103"/>
      <c r="AL15" s="103"/>
      <c r="AM15" s="103"/>
      <c r="AN15" s="103"/>
      <c r="AO15" s="103"/>
      <c r="AP15" s="103"/>
      <c r="AQ15" s="103"/>
      <c r="AR15" s="103"/>
    </row>
    <row r="16">
      <c r="A16" s="103"/>
      <c r="B16" s="121" t="s">
        <v>242</v>
      </c>
      <c r="C16" s="185" t="s">
        <v>243</v>
      </c>
      <c r="D16" s="29"/>
      <c r="E16" s="29"/>
      <c r="F16" s="29"/>
      <c r="G16" s="31"/>
      <c r="H16" s="103"/>
      <c r="I16" s="141" t="s">
        <v>245</v>
      </c>
      <c r="J16" s="142">
        <v>5.2</v>
      </c>
      <c r="K16" s="142">
        <v>3.8</v>
      </c>
      <c r="L16" s="143">
        <f>L30-(P16*TribalWater!$H$6)</f>
        <v>0.2161834222</v>
      </c>
      <c r="M16" s="143">
        <f>M30-(P16*TribalWater!$H$5)</f>
        <v>0.1215478667</v>
      </c>
      <c r="N16" s="143">
        <f>N30-(P16*TribalWater!$H$7)</f>
        <v>2.427072933</v>
      </c>
      <c r="O16" s="143">
        <f t="shared" si="6"/>
        <v>0.6333333333</v>
      </c>
      <c r="P16" s="143">
        <f t="shared" si="7"/>
        <v>0.4020357778</v>
      </c>
      <c r="Q16" s="142">
        <f t="shared" si="3"/>
        <v>3.800173333</v>
      </c>
      <c r="R16" s="145">
        <f t="shared" ref="R16:S16" si="20">L16/$K16</f>
        <v>0.05689037427</v>
      </c>
      <c r="S16" s="145">
        <f t="shared" si="20"/>
        <v>0.0319862807</v>
      </c>
      <c r="T16" s="145">
        <f t="shared" si="9"/>
        <v>0.6387034035</v>
      </c>
      <c r="U16" s="145">
        <v>0.16666666666666666</v>
      </c>
      <c r="V16" s="145">
        <v>0.10579888888888889</v>
      </c>
      <c r="W16" s="147">
        <f t="shared" si="5"/>
        <v>1.000045614</v>
      </c>
      <c r="X16" s="103"/>
      <c r="Y16" s="103"/>
      <c r="Z16" s="103"/>
      <c r="AA16" s="103"/>
      <c r="AB16" s="103"/>
      <c r="AC16" s="103"/>
      <c r="AD16" s="103"/>
      <c r="AE16" s="103"/>
      <c r="AF16" s="103"/>
      <c r="AG16" s="103"/>
      <c r="AH16" s="103"/>
      <c r="AI16" s="103"/>
      <c r="AJ16" s="103"/>
      <c r="AK16" s="103"/>
      <c r="AL16" s="103"/>
      <c r="AM16" s="103"/>
      <c r="AN16" s="103"/>
      <c r="AO16" s="103"/>
      <c r="AP16" s="103"/>
      <c r="AQ16" s="103"/>
      <c r="AR16" s="103"/>
    </row>
    <row r="17">
      <c r="A17" s="103"/>
      <c r="B17" s="103"/>
      <c r="C17" s="103"/>
      <c r="D17" s="103"/>
      <c r="E17" s="103"/>
      <c r="F17" s="103"/>
      <c r="G17" s="103"/>
      <c r="H17" s="103"/>
      <c r="I17" s="141" t="s">
        <v>246</v>
      </c>
      <c r="J17" s="142">
        <v>8.0</v>
      </c>
      <c r="K17" s="142">
        <v>1.0</v>
      </c>
      <c r="L17" s="143">
        <f>L31-(P17*TribalWater!$H$6)</f>
        <v>0.1717295556</v>
      </c>
      <c r="M17" s="143">
        <f>M31-(P17*TribalWater!$H$5)</f>
        <v>0.03195495238</v>
      </c>
      <c r="N17" s="143">
        <f>N31-(P17*TribalWater!$H$7)</f>
        <v>0.5238642222</v>
      </c>
      <c r="O17" s="143">
        <f t="shared" si="6"/>
        <v>0.1666666667</v>
      </c>
      <c r="P17" s="143">
        <f t="shared" si="7"/>
        <v>0.1057988889</v>
      </c>
      <c r="Q17" s="142">
        <f t="shared" si="3"/>
        <v>1.000014286</v>
      </c>
      <c r="R17" s="145">
        <f t="shared" ref="R17:S17" si="21">L17/$K17</f>
        <v>0.1717295556</v>
      </c>
      <c r="S17" s="145">
        <f t="shared" si="21"/>
        <v>0.03195495238</v>
      </c>
      <c r="T17" s="145">
        <f t="shared" si="9"/>
        <v>0.5238642222</v>
      </c>
      <c r="U17" s="145">
        <v>0.16666666666666666</v>
      </c>
      <c r="V17" s="145">
        <v>0.10579888888888889</v>
      </c>
      <c r="W17" s="147">
        <f t="shared" si="5"/>
        <v>1.000014286</v>
      </c>
      <c r="X17" s="103"/>
      <c r="Y17" s="103"/>
      <c r="Z17" s="103"/>
      <c r="AA17" s="103"/>
      <c r="AB17" s="103"/>
      <c r="AC17" s="103"/>
      <c r="AD17" s="103"/>
      <c r="AE17" s="103"/>
      <c r="AF17" s="103"/>
      <c r="AG17" s="103"/>
      <c r="AH17" s="103"/>
      <c r="AI17" s="103"/>
      <c r="AJ17" s="103"/>
      <c r="AK17" s="103"/>
      <c r="AL17" s="103"/>
      <c r="AM17" s="103"/>
      <c r="AN17" s="103"/>
      <c r="AO17" s="103"/>
      <c r="AP17" s="103"/>
      <c r="AQ17" s="103"/>
      <c r="AR17" s="103"/>
    </row>
    <row r="18">
      <c r="A18" s="103"/>
      <c r="B18" s="103"/>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c r="AA18" s="103"/>
      <c r="AB18" s="103"/>
      <c r="AC18" s="103"/>
      <c r="AD18" s="103"/>
      <c r="AE18" s="103"/>
      <c r="AF18" s="103"/>
      <c r="AG18" s="103"/>
      <c r="AH18" s="103"/>
      <c r="AI18" s="103"/>
      <c r="AJ18" s="103"/>
      <c r="AK18" s="103"/>
      <c r="AL18" s="103"/>
      <c r="AM18" s="103"/>
      <c r="AN18" s="103"/>
      <c r="AO18" s="103"/>
      <c r="AP18" s="103"/>
      <c r="AQ18" s="103"/>
      <c r="AR18" s="103"/>
    </row>
    <row r="19" ht="18.75" customHeight="1">
      <c r="A19" s="103"/>
      <c r="B19" s="103"/>
      <c r="C19" s="103"/>
      <c r="D19" s="103"/>
      <c r="E19" s="103"/>
      <c r="F19" s="103"/>
      <c r="G19" s="103"/>
      <c r="H19" s="103"/>
      <c r="I19" s="187" t="s">
        <v>247</v>
      </c>
      <c r="J19" s="29"/>
      <c r="K19" s="29"/>
      <c r="L19" s="29"/>
      <c r="M19" s="29"/>
      <c r="N19" s="29"/>
      <c r="O19" s="29"/>
      <c r="P19" s="29"/>
      <c r="Q19" s="29"/>
      <c r="R19" s="29"/>
      <c r="S19" s="29"/>
      <c r="T19" s="29"/>
      <c r="U19" s="31"/>
      <c r="V19" s="103"/>
      <c r="W19" s="103"/>
      <c r="X19" s="103"/>
      <c r="Y19" s="103"/>
      <c r="Z19" s="188"/>
      <c r="AA19" s="188"/>
      <c r="AB19" s="188"/>
      <c r="AC19" s="188"/>
      <c r="AD19" s="103"/>
      <c r="AE19" s="103"/>
      <c r="AF19" s="103"/>
      <c r="AG19" s="103"/>
      <c r="AH19" s="103"/>
      <c r="AI19" s="103"/>
      <c r="AJ19" s="103"/>
      <c r="AK19" s="103"/>
      <c r="AL19" s="103"/>
      <c r="AM19" s="103"/>
      <c r="AN19" s="103"/>
      <c r="AO19" s="103"/>
      <c r="AP19" s="103"/>
      <c r="AQ19" s="103"/>
      <c r="AR19" s="103"/>
    </row>
    <row r="20" ht="27.0" customHeight="1">
      <c r="A20" s="103"/>
      <c r="B20" s="103"/>
      <c r="C20" s="103"/>
      <c r="D20" s="103"/>
      <c r="E20" s="103"/>
      <c r="F20" s="103"/>
      <c r="G20" s="103"/>
      <c r="H20" s="103"/>
      <c r="I20" s="111" t="s">
        <v>126</v>
      </c>
      <c r="J20" s="111" t="s">
        <v>248</v>
      </c>
      <c r="K20" s="111" t="s">
        <v>249</v>
      </c>
      <c r="L20" s="107" t="s">
        <v>138</v>
      </c>
      <c r="M20" s="29"/>
      <c r="N20" s="29"/>
      <c r="O20" s="29"/>
      <c r="P20" s="31"/>
      <c r="Q20" s="115" t="s">
        <v>140</v>
      </c>
      <c r="R20" s="29"/>
      <c r="S20" s="29"/>
      <c r="T20" s="29"/>
      <c r="U20" s="31"/>
      <c r="V20" s="103"/>
      <c r="W20" s="103"/>
      <c r="X20" s="103"/>
      <c r="Y20" s="103"/>
      <c r="Z20" s="189"/>
      <c r="AA20" s="189"/>
      <c r="AB20" s="189"/>
      <c r="AC20" s="189"/>
      <c r="AD20" s="103"/>
      <c r="AE20" s="103"/>
      <c r="AF20" s="103"/>
      <c r="AG20" s="103"/>
      <c r="AH20" s="103"/>
      <c r="AI20" s="103"/>
      <c r="AJ20" s="103"/>
      <c r="AK20" s="103"/>
      <c r="AL20" s="103"/>
      <c r="AM20" s="103"/>
      <c r="AN20" s="103"/>
      <c r="AO20" s="103"/>
      <c r="AP20" s="103"/>
      <c r="AQ20" s="103"/>
      <c r="AR20" s="103"/>
    </row>
    <row r="21" ht="34.5" customHeight="1">
      <c r="A21" s="103"/>
      <c r="B21" s="103"/>
      <c r="C21" s="103"/>
      <c r="D21" s="103"/>
      <c r="E21" s="103"/>
      <c r="F21" s="103"/>
      <c r="G21" s="103"/>
      <c r="H21" s="103"/>
      <c r="I21" s="126"/>
      <c r="J21" s="126"/>
      <c r="K21" s="126"/>
      <c r="L21" s="127" t="s">
        <v>250</v>
      </c>
      <c r="M21" s="127" t="s">
        <v>251</v>
      </c>
      <c r="N21" s="127" t="s">
        <v>252</v>
      </c>
      <c r="O21" s="127" t="s">
        <v>253</v>
      </c>
      <c r="P21" s="127" t="s">
        <v>153</v>
      </c>
      <c r="Q21" s="129" t="s">
        <v>254</v>
      </c>
      <c r="R21" s="129" t="s">
        <v>255</v>
      </c>
      <c r="S21" s="129" t="s">
        <v>256</v>
      </c>
      <c r="T21" s="129" t="s">
        <v>257</v>
      </c>
      <c r="U21" s="129" t="s">
        <v>158</v>
      </c>
      <c r="V21" s="103"/>
      <c r="W21" s="103"/>
      <c r="X21" s="103"/>
      <c r="Y21" s="103"/>
      <c r="Z21" s="190"/>
      <c r="AA21" s="190"/>
      <c r="AB21" s="190"/>
      <c r="AC21" s="103"/>
      <c r="AD21" s="103"/>
      <c r="AE21" s="103"/>
      <c r="AF21" s="103"/>
      <c r="AG21" s="103"/>
      <c r="AH21" s="103"/>
      <c r="AI21" s="103"/>
      <c r="AJ21" s="103"/>
      <c r="AK21" s="103"/>
      <c r="AL21" s="103"/>
      <c r="AM21" s="103"/>
      <c r="AN21" s="103"/>
      <c r="AO21" s="103"/>
      <c r="AP21" s="103"/>
      <c r="AQ21" s="103"/>
      <c r="AR21" s="103"/>
    </row>
    <row r="22" ht="16.5" customHeight="1">
      <c r="A22" s="103"/>
      <c r="B22" s="103"/>
      <c r="C22" s="103"/>
      <c r="D22" s="103"/>
      <c r="E22" s="103"/>
      <c r="F22" s="103"/>
      <c r="G22" s="103"/>
      <c r="H22" s="103"/>
      <c r="I22" s="134" t="s">
        <v>161</v>
      </c>
      <c r="J22" s="191">
        <f t="shared" ref="J22:J26" si="23">B11</f>
        <v>0</v>
      </c>
      <c r="K22" s="192">
        <v>9.0</v>
      </c>
      <c r="L22" s="193">
        <v>2.8</v>
      </c>
      <c r="M22" s="193">
        <v>0.3</v>
      </c>
      <c r="N22" s="193">
        <v>4.4</v>
      </c>
      <c r="O22" s="193">
        <v>1.5</v>
      </c>
      <c r="P22" s="192">
        <f t="shared" ref="P22:P26" si="25">SUM(L22:O22)</f>
        <v>9</v>
      </c>
      <c r="Q22" s="194">
        <f t="shared" ref="Q22:T22" si="22">L22/$K22</f>
        <v>0.3111111111</v>
      </c>
      <c r="R22" s="194">
        <f t="shared" si="22"/>
        <v>0.03333333333</v>
      </c>
      <c r="S22" s="194">
        <f t="shared" si="22"/>
        <v>0.4888888889</v>
      </c>
      <c r="T22" s="194">
        <f t="shared" si="22"/>
        <v>0.1666666667</v>
      </c>
      <c r="U22" s="195">
        <f t="shared" ref="U22:U30" si="27">SUM(Q22:T22)</f>
        <v>1</v>
      </c>
      <c r="V22" s="103" t="s">
        <v>176</v>
      </c>
      <c r="W22" s="196"/>
      <c r="X22" s="103"/>
      <c r="Y22" s="103"/>
      <c r="Z22" s="103"/>
      <c r="AA22" s="103"/>
      <c r="AB22" s="103"/>
      <c r="AC22" s="103"/>
      <c r="AD22" s="103"/>
      <c r="AE22" s="103"/>
      <c r="AF22" s="197"/>
      <c r="AG22" s="103"/>
      <c r="AH22" s="103"/>
      <c r="AI22" s="103"/>
      <c r="AJ22" s="103"/>
      <c r="AK22" s="103"/>
      <c r="AL22" s="103"/>
      <c r="AM22" s="103"/>
      <c r="AN22" s="103"/>
      <c r="AO22" s="103"/>
      <c r="AP22" s="103"/>
      <c r="AQ22" s="103"/>
      <c r="AR22" s="103"/>
    </row>
    <row r="23" ht="15.0" customHeight="1">
      <c r="A23" s="103"/>
      <c r="B23" s="198"/>
      <c r="C23" s="199"/>
      <c r="D23" s="199"/>
      <c r="E23" s="199"/>
      <c r="F23" s="199"/>
      <c r="G23" s="199"/>
      <c r="H23" s="103"/>
      <c r="I23" s="141" t="s">
        <v>179</v>
      </c>
      <c r="J23" s="200">
        <f t="shared" si="23"/>
        <v>0.3</v>
      </c>
      <c r="K23" s="201">
        <f t="shared" ref="K23:K27" si="28">K$22-J23</f>
        <v>8.7</v>
      </c>
      <c r="L23" s="171">
        <f t="shared" ref="L23:O23" si="24">L$22-C12</f>
        <v>2.67001</v>
      </c>
      <c r="M23" s="171">
        <f t="shared" si="24"/>
        <v>0.29001</v>
      </c>
      <c r="N23" s="171">
        <f t="shared" si="24"/>
        <v>4.28999</v>
      </c>
      <c r="O23" s="171">
        <f t="shared" si="24"/>
        <v>1.44999</v>
      </c>
      <c r="P23" s="202">
        <f t="shared" si="25"/>
        <v>8.7</v>
      </c>
      <c r="Q23" s="203">
        <f t="shared" ref="Q23:T23" si="26">L23/$K23</f>
        <v>0.3068977011</v>
      </c>
      <c r="R23" s="203">
        <f t="shared" si="26"/>
        <v>0.03333448276</v>
      </c>
      <c r="S23" s="203">
        <f t="shared" si="26"/>
        <v>0.4931022989</v>
      </c>
      <c r="T23" s="203">
        <f t="shared" si="26"/>
        <v>0.1666655172</v>
      </c>
      <c r="U23" s="204">
        <f t="shared" si="27"/>
        <v>1</v>
      </c>
      <c r="V23" s="196"/>
      <c r="W23" s="196"/>
      <c r="X23" s="103"/>
      <c r="Y23" s="103"/>
      <c r="Z23" s="103"/>
      <c r="AA23" s="103"/>
      <c r="AB23" s="103"/>
      <c r="AC23" s="103"/>
      <c r="AD23" s="103"/>
      <c r="AE23" s="103"/>
      <c r="AF23" s="197"/>
      <c r="AG23" s="103"/>
      <c r="AH23" s="103"/>
      <c r="AI23" s="103"/>
      <c r="AJ23" s="103"/>
      <c r="AK23" s="103"/>
      <c r="AL23" s="103"/>
      <c r="AM23" s="103"/>
      <c r="AN23" s="103"/>
      <c r="AO23" s="103"/>
      <c r="AP23" s="103"/>
      <c r="AQ23" s="103"/>
      <c r="AR23" s="103"/>
    </row>
    <row r="24" ht="13.5" customHeight="1">
      <c r="A24" s="103"/>
      <c r="B24" s="205"/>
      <c r="C24" s="199"/>
      <c r="D24" s="199"/>
      <c r="E24" s="199"/>
      <c r="F24" s="199"/>
      <c r="G24" s="199"/>
      <c r="H24" s="103"/>
      <c r="I24" s="141" t="s">
        <v>190</v>
      </c>
      <c r="J24" s="200">
        <f t="shared" si="23"/>
        <v>0.4</v>
      </c>
      <c r="K24" s="201">
        <f t="shared" si="28"/>
        <v>8.6</v>
      </c>
      <c r="L24" s="171">
        <f t="shared" ref="L24:O24" si="29">L$22-C13</f>
        <v>2.62668</v>
      </c>
      <c r="M24" s="171">
        <f t="shared" si="29"/>
        <v>0.28668</v>
      </c>
      <c r="N24" s="171">
        <f t="shared" si="29"/>
        <v>4.25332</v>
      </c>
      <c r="O24" s="171">
        <f t="shared" si="29"/>
        <v>1.43332</v>
      </c>
      <c r="P24" s="202">
        <f t="shared" si="25"/>
        <v>8.6</v>
      </c>
      <c r="Q24" s="203">
        <f t="shared" ref="Q24:T24" si="30">L24/$K24</f>
        <v>0.305427907</v>
      </c>
      <c r="R24" s="203">
        <f t="shared" si="30"/>
        <v>0.03333488372</v>
      </c>
      <c r="S24" s="203">
        <f t="shared" si="30"/>
        <v>0.494572093</v>
      </c>
      <c r="T24" s="203">
        <f t="shared" si="30"/>
        <v>0.1666651163</v>
      </c>
      <c r="U24" s="204">
        <f t="shared" si="27"/>
        <v>1</v>
      </c>
      <c r="V24" s="206"/>
      <c r="W24" s="206"/>
      <c r="X24" s="103"/>
      <c r="Y24" s="103"/>
      <c r="Z24" s="103"/>
      <c r="AA24" s="103"/>
      <c r="AB24" s="103"/>
      <c r="AC24" s="103"/>
      <c r="AD24" s="103"/>
      <c r="AE24" s="103"/>
      <c r="AF24" s="197"/>
      <c r="AG24" s="103"/>
      <c r="AH24" s="103"/>
      <c r="AI24" s="103"/>
      <c r="AJ24" s="103"/>
      <c r="AK24" s="103"/>
      <c r="AL24" s="103"/>
      <c r="AM24" s="103"/>
      <c r="AN24" s="103"/>
      <c r="AO24" s="103"/>
      <c r="AP24" s="103"/>
      <c r="AQ24" s="103"/>
      <c r="AR24" s="103"/>
    </row>
    <row r="25" ht="13.5" customHeight="1">
      <c r="A25" s="103"/>
      <c r="B25" s="103"/>
      <c r="C25" s="103"/>
      <c r="D25" s="103"/>
      <c r="E25" s="103"/>
      <c r="F25" s="103"/>
      <c r="G25" s="103"/>
      <c r="H25" s="103"/>
      <c r="I25" s="141" t="s">
        <v>196</v>
      </c>
      <c r="J25" s="200">
        <f t="shared" si="23"/>
        <v>1</v>
      </c>
      <c r="K25" s="201">
        <f t="shared" si="28"/>
        <v>8</v>
      </c>
      <c r="L25" s="171">
        <f t="shared" ref="L25:O25" si="31">L$22-C14</f>
        <v>2.3667</v>
      </c>
      <c r="M25" s="171">
        <f t="shared" si="31"/>
        <v>0.2667</v>
      </c>
      <c r="N25" s="171">
        <f t="shared" si="31"/>
        <v>4.0333</v>
      </c>
      <c r="O25" s="171">
        <f t="shared" si="31"/>
        <v>1.3333</v>
      </c>
      <c r="P25" s="202">
        <f t="shared" si="25"/>
        <v>8</v>
      </c>
      <c r="Q25" s="203">
        <f t="shared" ref="Q25:T25" si="32">L25/$K25</f>
        <v>0.2958375</v>
      </c>
      <c r="R25" s="203">
        <f t="shared" si="32"/>
        <v>0.0333375</v>
      </c>
      <c r="S25" s="203">
        <f t="shared" si="32"/>
        <v>0.5041625</v>
      </c>
      <c r="T25" s="203">
        <f t="shared" si="32"/>
        <v>0.1666625</v>
      </c>
      <c r="U25" s="204">
        <f t="shared" si="27"/>
        <v>1</v>
      </c>
      <c r="V25" s="207"/>
      <c r="W25" s="208"/>
      <c r="X25" s="103"/>
      <c r="Y25" s="103"/>
      <c r="Z25" s="103"/>
      <c r="AA25" s="103"/>
      <c r="AB25" s="103"/>
      <c r="AC25" s="103"/>
      <c r="AD25" s="103"/>
      <c r="AE25" s="103"/>
      <c r="AF25" s="103"/>
      <c r="AG25" s="103"/>
      <c r="AH25" s="103"/>
      <c r="AI25" s="103"/>
      <c r="AJ25" s="103"/>
      <c r="AK25" s="103"/>
      <c r="AL25" s="103"/>
      <c r="AM25" s="103"/>
      <c r="AN25" s="103"/>
      <c r="AO25" s="103"/>
      <c r="AP25" s="103"/>
      <c r="AQ25" s="103"/>
      <c r="AR25" s="103"/>
    </row>
    <row r="26" ht="15.75" customHeight="1">
      <c r="A26" s="103"/>
      <c r="B26" s="103"/>
      <c r="C26" s="197"/>
      <c r="D26" s="197"/>
      <c r="E26" s="197"/>
      <c r="F26" s="197"/>
      <c r="G26" s="197"/>
      <c r="H26" s="103"/>
      <c r="I26" s="141" t="s">
        <v>215</v>
      </c>
      <c r="J26" s="200">
        <f t="shared" si="23"/>
        <v>1.5</v>
      </c>
      <c r="K26" s="201">
        <f t="shared" si="28"/>
        <v>7.5</v>
      </c>
      <c r="L26" s="171">
        <f t="shared" ref="L26:O26" si="33">L$22-C15</f>
        <v>2.15005</v>
      </c>
      <c r="M26" s="171">
        <f t="shared" si="33"/>
        <v>0.25005</v>
      </c>
      <c r="N26" s="171">
        <f t="shared" si="33"/>
        <v>3.84995</v>
      </c>
      <c r="O26" s="171">
        <f t="shared" si="33"/>
        <v>1.24995</v>
      </c>
      <c r="P26" s="202">
        <f t="shared" si="25"/>
        <v>7.5</v>
      </c>
      <c r="Q26" s="203">
        <f t="shared" ref="Q26:T26" si="34">L26/$K26</f>
        <v>0.2866733333</v>
      </c>
      <c r="R26" s="203">
        <f t="shared" si="34"/>
        <v>0.03334</v>
      </c>
      <c r="S26" s="203">
        <f t="shared" si="34"/>
        <v>0.5133266667</v>
      </c>
      <c r="T26" s="203">
        <f t="shared" si="34"/>
        <v>0.16666</v>
      </c>
      <c r="U26" s="204">
        <f t="shared" si="27"/>
        <v>1</v>
      </c>
      <c r="V26" s="207"/>
      <c r="W26" s="208"/>
      <c r="X26" s="103"/>
      <c r="Y26" s="103"/>
      <c r="Z26" s="103"/>
      <c r="AA26" s="103"/>
      <c r="AB26" s="103"/>
      <c r="AC26" s="103"/>
      <c r="AD26" s="103"/>
      <c r="AE26" s="103"/>
      <c r="AF26" s="103"/>
      <c r="AG26" s="103"/>
      <c r="AH26" s="103"/>
      <c r="AI26" s="103"/>
      <c r="AJ26" s="103"/>
      <c r="AK26" s="103"/>
      <c r="AL26" s="103"/>
      <c r="AM26" s="103"/>
      <c r="AN26" s="103"/>
      <c r="AO26" s="103"/>
      <c r="AP26" s="103"/>
      <c r="AQ26" s="103"/>
      <c r="AR26" s="103"/>
    </row>
    <row r="27" ht="15.75" customHeight="1">
      <c r="A27" s="103"/>
      <c r="B27" s="103"/>
      <c r="C27" s="197"/>
      <c r="D27" s="197"/>
      <c r="E27" s="197"/>
      <c r="F27" s="197"/>
      <c r="G27" s="197"/>
      <c r="H27" s="103"/>
      <c r="I27" s="141" t="s">
        <v>226</v>
      </c>
      <c r="J27" s="200">
        <v>2.7</v>
      </c>
      <c r="K27" s="201">
        <f t="shared" si="28"/>
        <v>6.3</v>
      </c>
      <c r="L27" s="171">
        <f t="shared" ref="L27:P27" si="35">L26-C9*($K26-$K27)</f>
        <v>1.63009</v>
      </c>
      <c r="M27" s="171">
        <f t="shared" si="35"/>
        <v>0.21009</v>
      </c>
      <c r="N27" s="171">
        <f t="shared" si="35"/>
        <v>3.40991</v>
      </c>
      <c r="O27" s="171">
        <f t="shared" si="35"/>
        <v>1.04991</v>
      </c>
      <c r="P27" s="201">
        <f t="shared" si="35"/>
        <v>6.3</v>
      </c>
      <c r="Q27" s="203">
        <f t="shared" ref="Q27:T27" si="36">L27/$K27</f>
        <v>0.2587444444</v>
      </c>
      <c r="R27" s="203">
        <f t="shared" si="36"/>
        <v>0.03334761905</v>
      </c>
      <c r="S27" s="203">
        <f t="shared" si="36"/>
        <v>0.5412555556</v>
      </c>
      <c r="T27" s="203">
        <f t="shared" si="36"/>
        <v>0.166652381</v>
      </c>
      <c r="U27" s="204">
        <f t="shared" si="27"/>
        <v>1</v>
      </c>
      <c r="V27" s="207"/>
      <c r="W27" s="208"/>
      <c r="X27" s="103"/>
      <c r="Y27" s="103"/>
      <c r="Z27" s="103"/>
      <c r="AA27" s="103"/>
      <c r="AB27" s="103"/>
      <c r="AC27" s="103"/>
      <c r="AD27" s="103"/>
      <c r="AE27" s="103"/>
      <c r="AF27" s="103"/>
      <c r="AG27" s="103"/>
      <c r="AH27" s="103"/>
      <c r="AI27" s="103"/>
      <c r="AJ27" s="103"/>
      <c r="AK27" s="103"/>
      <c r="AL27" s="103"/>
      <c r="AM27" s="103"/>
      <c r="AN27" s="103"/>
      <c r="AO27" s="103"/>
      <c r="AP27" s="103"/>
      <c r="AQ27" s="103"/>
      <c r="AR27" s="103"/>
    </row>
    <row r="28" ht="15.75" customHeight="1">
      <c r="A28" s="103"/>
      <c r="B28" s="103"/>
      <c r="C28" s="103"/>
      <c r="D28" s="103"/>
      <c r="E28" s="103"/>
      <c r="F28" s="103"/>
      <c r="G28" s="103"/>
      <c r="H28" s="103"/>
      <c r="I28" s="141" t="s">
        <v>234</v>
      </c>
      <c r="J28" s="142">
        <f t="shared" ref="J28:J30" si="39">9-K28</f>
        <v>4</v>
      </c>
      <c r="K28" s="142">
        <v>5.0</v>
      </c>
      <c r="L28" s="143">
        <f t="shared" ref="L28:P28" si="37">L26-C9*($K26-$K28)</f>
        <v>1.0668</v>
      </c>
      <c r="M28" s="143">
        <f t="shared" si="37"/>
        <v>0.1668</v>
      </c>
      <c r="N28" s="143">
        <f t="shared" si="37"/>
        <v>2.9332</v>
      </c>
      <c r="O28" s="143">
        <f t="shared" si="37"/>
        <v>0.8332</v>
      </c>
      <c r="P28" s="142">
        <f t="shared" si="37"/>
        <v>5</v>
      </c>
      <c r="Q28" s="203">
        <f t="shared" ref="Q28:T28" si="38">L28/$K28</f>
        <v>0.21336</v>
      </c>
      <c r="R28" s="203">
        <f t="shared" si="38"/>
        <v>0.03336</v>
      </c>
      <c r="S28" s="203">
        <f t="shared" si="38"/>
        <v>0.58664</v>
      </c>
      <c r="T28" s="203">
        <f t="shared" si="38"/>
        <v>0.16664</v>
      </c>
      <c r="U28" s="204">
        <f t="shared" si="27"/>
        <v>1</v>
      </c>
      <c r="V28" s="209" t="s">
        <v>259</v>
      </c>
      <c r="W28" s="208"/>
      <c r="X28" s="103"/>
      <c r="Y28" s="103"/>
      <c r="Z28" s="103"/>
      <c r="AA28" s="103"/>
      <c r="AB28" s="103"/>
      <c r="AC28" s="103"/>
      <c r="AD28" s="103"/>
      <c r="AE28" s="103"/>
      <c r="AF28" s="103"/>
      <c r="AG28" s="103"/>
      <c r="AH28" s="103"/>
      <c r="AI28" s="103"/>
      <c r="AJ28" s="103"/>
      <c r="AK28" s="103"/>
      <c r="AL28" s="103"/>
      <c r="AM28" s="103"/>
      <c r="AN28" s="103"/>
      <c r="AO28" s="103"/>
      <c r="AP28" s="103"/>
      <c r="AQ28" s="103"/>
      <c r="AR28" s="103"/>
    </row>
    <row r="29" ht="15.75" customHeight="1">
      <c r="A29" s="103"/>
      <c r="B29" s="103"/>
      <c r="C29" s="197"/>
      <c r="D29" s="197"/>
      <c r="E29" s="197"/>
      <c r="F29" s="197"/>
      <c r="G29" s="197"/>
      <c r="H29" s="103"/>
      <c r="I29" s="141" t="s">
        <v>240</v>
      </c>
      <c r="J29" s="141">
        <f t="shared" si="39"/>
        <v>4.4</v>
      </c>
      <c r="K29" s="141">
        <v>4.6</v>
      </c>
      <c r="L29" s="143">
        <f t="shared" ref="L29:P29" si="40">L26-C9*($K26-$K29)</f>
        <v>0.89348</v>
      </c>
      <c r="M29" s="143">
        <f t="shared" si="40"/>
        <v>0.15348</v>
      </c>
      <c r="N29" s="143">
        <f t="shared" si="40"/>
        <v>2.78652</v>
      </c>
      <c r="O29" s="143">
        <f t="shared" si="40"/>
        <v>0.76652</v>
      </c>
      <c r="P29" s="142">
        <f t="shared" si="40"/>
        <v>4.6</v>
      </c>
      <c r="Q29" s="203">
        <f t="shared" ref="Q29:T29" si="41">L29/$K29</f>
        <v>0.1942347826</v>
      </c>
      <c r="R29" s="203">
        <f t="shared" si="41"/>
        <v>0.03336521739</v>
      </c>
      <c r="S29" s="203">
        <f t="shared" si="41"/>
        <v>0.6057652174</v>
      </c>
      <c r="T29" s="203">
        <f t="shared" si="41"/>
        <v>0.1666347826</v>
      </c>
      <c r="U29" s="204">
        <f t="shared" si="27"/>
        <v>1</v>
      </c>
      <c r="V29" s="207"/>
      <c r="W29" s="208"/>
      <c r="X29" s="103"/>
      <c r="Y29" s="103"/>
      <c r="Z29" s="103"/>
      <c r="AA29" s="103"/>
      <c r="AB29" s="103"/>
      <c r="AC29" s="103"/>
      <c r="AD29" s="103"/>
      <c r="AE29" s="103"/>
      <c r="AF29" s="103"/>
      <c r="AG29" s="103"/>
      <c r="AH29" s="103"/>
      <c r="AI29" s="103"/>
      <c r="AJ29" s="103"/>
      <c r="AK29" s="103"/>
      <c r="AL29" s="103"/>
      <c r="AM29" s="103"/>
      <c r="AN29" s="103"/>
      <c r="AO29" s="103"/>
      <c r="AP29" s="103"/>
      <c r="AQ29" s="103"/>
      <c r="AR29" s="103"/>
    </row>
    <row r="30" ht="15.75" customHeight="1">
      <c r="A30" s="103"/>
      <c r="B30" s="103"/>
      <c r="C30" s="197"/>
      <c r="D30" s="197"/>
      <c r="E30" s="197"/>
      <c r="F30" s="197"/>
      <c r="G30" s="197"/>
      <c r="H30" s="103"/>
      <c r="I30" s="141" t="s">
        <v>245</v>
      </c>
      <c r="J30" s="141">
        <f t="shared" si="39"/>
        <v>5.2</v>
      </c>
      <c r="K30" s="141">
        <v>3.8</v>
      </c>
      <c r="L30" s="143">
        <f t="shared" ref="L30:P30" si="42">L26-C9*($K26-$K30)</f>
        <v>0.54684</v>
      </c>
      <c r="M30" s="143">
        <f t="shared" si="42"/>
        <v>0.12684</v>
      </c>
      <c r="N30" s="143">
        <f t="shared" si="42"/>
        <v>2.49316</v>
      </c>
      <c r="O30" s="143">
        <f t="shared" si="42"/>
        <v>0.63316</v>
      </c>
      <c r="P30" s="142">
        <f t="shared" si="42"/>
        <v>3.8</v>
      </c>
      <c r="Q30" s="203">
        <f t="shared" ref="Q30:T30" si="43">L30/$K30</f>
        <v>0.1439052632</v>
      </c>
      <c r="R30" s="203">
        <f t="shared" si="43"/>
        <v>0.03337894737</v>
      </c>
      <c r="S30" s="203">
        <f t="shared" si="43"/>
        <v>0.6560947368</v>
      </c>
      <c r="T30" s="203">
        <f t="shared" si="43"/>
        <v>0.1666210526</v>
      </c>
      <c r="U30" s="204">
        <f t="shared" si="27"/>
        <v>1</v>
      </c>
      <c r="V30" s="207"/>
      <c r="W30" s="208"/>
      <c r="X30" s="103"/>
      <c r="Y30" s="103"/>
      <c r="Z30" s="103"/>
      <c r="AA30" s="103"/>
      <c r="AB30" s="103"/>
      <c r="AC30" s="103"/>
      <c r="AD30" s="103"/>
      <c r="AE30" s="103"/>
      <c r="AF30" s="103"/>
      <c r="AG30" s="103"/>
      <c r="AH30" s="103"/>
      <c r="AI30" s="103"/>
      <c r="AJ30" s="103"/>
      <c r="AK30" s="103"/>
      <c r="AL30" s="103"/>
      <c r="AM30" s="103"/>
      <c r="AN30" s="103"/>
      <c r="AO30" s="103"/>
      <c r="AP30" s="103"/>
      <c r="AQ30" s="103"/>
      <c r="AR30" s="103"/>
    </row>
    <row r="31" ht="15.75" customHeight="1">
      <c r="A31" s="103"/>
      <c r="B31" s="103"/>
      <c r="C31" s="197"/>
      <c r="D31" s="197"/>
      <c r="E31" s="197"/>
      <c r="F31" s="197"/>
      <c r="G31" s="197"/>
      <c r="H31" s="103"/>
      <c r="I31" s="141" t="s">
        <v>246</v>
      </c>
      <c r="J31" s="200">
        <v>8.0</v>
      </c>
      <c r="K31" s="201">
        <f>K$22-J31</f>
        <v>1</v>
      </c>
      <c r="L31" s="171">
        <f t="shared" ref="L31:P31" si="44">$K31*Q31</f>
        <v>0.2587444444</v>
      </c>
      <c r="M31" s="171">
        <f t="shared" si="44"/>
        <v>0.03334761905</v>
      </c>
      <c r="N31" s="171">
        <f t="shared" si="44"/>
        <v>0.5412555556</v>
      </c>
      <c r="O31" s="171">
        <f t="shared" si="44"/>
        <v>0.166652381</v>
      </c>
      <c r="P31" s="201">
        <f t="shared" si="44"/>
        <v>1</v>
      </c>
      <c r="Q31" s="203">
        <f t="shared" ref="Q31:U31" si="45">Q27</f>
        <v>0.2587444444</v>
      </c>
      <c r="R31" s="203">
        <f t="shared" si="45"/>
        <v>0.03334761905</v>
      </c>
      <c r="S31" s="203">
        <f t="shared" si="45"/>
        <v>0.5412555556</v>
      </c>
      <c r="T31" s="203">
        <f t="shared" si="45"/>
        <v>0.166652381</v>
      </c>
      <c r="U31" s="204">
        <f t="shared" si="45"/>
        <v>1</v>
      </c>
      <c r="V31" s="212" t="s">
        <v>261</v>
      </c>
      <c r="W31" s="208"/>
      <c r="X31" s="103"/>
      <c r="Y31" s="103"/>
      <c r="Z31" s="103"/>
      <c r="AA31" s="103"/>
      <c r="AB31" s="103"/>
      <c r="AC31" s="103"/>
      <c r="AD31" s="103"/>
      <c r="AE31" s="103"/>
      <c r="AF31" s="103"/>
      <c r="AG31" s="103"/>
      <c r="AH31" s="103"/>
      <c r="AI31" s="103"/>
      <c r="AJ31" s="103"/>
      <c r="AK31" s="103"/>
      <c r="AL31" s="103"/>
      <c r="AM31" s="103"/>
      <c r="AN31" s="103"/>
      <c r="AO31" s="103"/>
      <c r="AP31" s="103"/>
      <c r="AQ31" s="103"/>
      <c r="AR31" s="103"/>
    </row>
    <row r="32" ht="15.75" customHeight="1">
      <c r="A32" s="103"/>
      <c r="B32" s="103"/>
      <c r="C32" s="197"/>
      <c r="D32" s="197"/>
      <c r="E32" s="197"/>
      <c r="F32" s="197"/>
      <c r="G32" s="197"/>
      <c r="H32" s="103"/>
      <c r="I32" s="103"/>
      <c r="J32" s="103"/>
      <c r="K32" s="103"/>
      <c r="L32" s="103"/>
      <c r="M32" s="103"/>
      <c r="N32" s="103"/>
      <c r="O32" s="103"/>
      <c r="P32" s="103"/>
      <c r="Q32" s="103"/>
      <c r="R32" s="103"/>
      <c r="S32" s="103"/>
      <c r="T32" s="103"/>
      <c r="U32" s="103"/>
      <c r="V32" s="207"/>
      <c r="W32" s="208"/>
      <c r="X32" s="103"/>
      <c r="Y32" s="103"/>
      <c r="Z32" s="103"/>
      <c r="AA32" s="103"/>
      <c r="AB32" s="103"/>
      <c r="AC32" s="103"/>
      <c r="AD32" s="103"/>
      <c r="AE32" s="103"/>
      <c r="AF32" s="103"/>
      <c r="AG32" s="103"/>
      <c r="AH32" s="103"/>
      <c r="AI32" s="103"/>
      <c r="AJ32" s="103"/>
      <c r="AK32" s="103"/>
      <c r="AL32" s="103"/>
      <c r="AM32" s="103"/>
      <c r="AN32" s="103"/>
      <c r="AO32" s="103"/>
      <c r="AP32" s="103"/>
      <c r="AQ32" s="103"/>
      <c r="AR32" s="103"/>
    </row>
    <row r="33" ht="15.75" customHeight="1">
      <c r="U33" s="8"/>
      <c r="V33" s="207"/>
      <c r="W33" s="208"/>
    </row>
    <row r="34" ht="15.75" customHeight="1">
      <c r="U34" s="8"/>
    </row>
    <row r="35" ht="15.75" customHeight="1">
      <c r="U35" s="8"/>
    </row>
    <row r="36" ht="15.75" customHeight="1">
      <c r="U36" s="8"/>
      <c r="AB36" s="91"/>
      <c r="AC36" s="91"/>
      <c r="AD36" s="91"/>
      <c r="AF36" s="91"/>
      <c r="AG36" s="91"/>
    </row>
    <row r="37" ht="13.5" customHeight="1">
      <c r="A37" s="214"/>
      <c r="B37" s="214"/>
      <c r="C37" s="214"/>
      <c r="D37" s="214"/>
      <c r="E37" s="214"/>
      <c r="F37" s="214"/>
      <c r="G37" s="214"/>
      <c r="U37" s="8"/>
      <c r="Y37" s="196"/>
      <c r="Z37" s="196"/>
      <c r="AA37" s="196"/>
      <c r="AB37" s="215"/>
      <c r="AC37" s="215"/>
      <c r="AD37" s="215"/>
      <c r="AE37" s="215"/>
      <c r="AF37" s="215"/>
      <c r="AG37" s="215"/>
      <c r="AH37" s="196"/>
      <c r="AI37" s="196"/>
      <c r="AJ37" s="196"/>
      <c r="AK37" s="196"/>
      <c r="AL37" s="196"/>
      <c r="AM37" s="196"/>
    </row>
    <row r="38" ht="13.5" customHeight="1">
      <c r="A38" s="206"/>
      <c r="B38" s="206"/>
      <c r="C38" s="206"/>
      <c r="D38" s="206"/>
      <c r="E38" s="206"/>
      <c r="F38" s="206"/>
      <c r="G38" s="206"/>
      <c r="U38" s="8"/>
      <c r="Y38" s="196"/>
      <c r="Z38" s="216"/>
      <c r="AA38" s="216"/>
      <c r="AB38" s="196"/>
      <c r="AC38" s="196"/>
      <c r="AD38" s="196"/>
      <c r="AE38" s="196"/>
      <c r="AF38" s="196"/>
      <c r="AG38" s="196"/>
      <c r="AH38" s="196"/>
      <c r="AI38" s="196"/>
      <c r="AJ38" s="196"/>
      <c r="AK38" s="196"/>
      <c r="AL38" s="196"/>
      <c r="AM38" s="196"/>
    </row>
    <row r="39" ht="13.5" customHeight="1">
      <c r="A39" s="216"/>
      <c r="B39" s="216"/>
      <c r="C39" s="216"/>
      <c r="D39" s="216"/>
      <c r="E39" s="216"/>
      <c r="F39" s="216"/>
      <c r="G39" s="216"/>
      <c r="U39" s="8"/>
      <c r="Y39" s="196"/>
      <c r="Z39" s="196"/>
      <c r="AA39" s="196"/>
      <c r="AB39" s="206"/>
      <c r="AC39" s="206"/>
      <c r="AD39" s="206"/>
      <c r="AE39" s="206"/>
      <c r="AF39" s="206"/>
      <c r="AG39" s="217"/>
      <c r="AH39" s="206"/>
      <c r="AI39" s="206"/>
      <c r="AJ39" s="206"/>
      <c r="AK39" s="206"/>
      <c r="AL39" s="206"/>
      <c r="AM39" s="217"/>
    </row>
    <row r="40" ht="15.0" customHeight="1">
      <c r="A40" s="188"/>
      <c r="B40" s="218"/>
      <c r="C40" s="218"/>
      <c r="D40" s="218"/>
      <c r="E40" s="218"/>
      <c r="F40" s="218"/>
      <c r="G40" s="218"/>
      <c r="U40" s="8"/>
      <c r="Y40" s="219"/>
      <c r="Z40" s="220"/>
      <c r="AA40" s="220"/>
      <c r="AB40" s="189"/>
      <c r="AC40" s="189"/>
      <c r="AD40" s="189"/>
      <c r="AE40" s="189"/>
      <c r="AF40" s="189"/>
      <c r="AG40" s="220"/>
      <c r="AH40" s="182"/>
      <c r="AI40" s="182"/>
      <c r="AJ40" s="182"/>
      <c r="AK40" s="182"/>
      <c r="AL40" s="182"/>
      <c r="AM40" s="208"/>
    </row>
    <row r="41" ht="15.75" customHeight="1">
      <c r="A41" s="188"/>
      <c r="B41" s="218"/>
      <c r="C41" s="218"/>
      <c r="D41" s="218"/>
      <c r="E41" s="218"/>
      <c r="F41" s="218"/>
      <c r="G41" s="218"/>
      <c r="U41" s="8"/>
      <c r="X41" s="103"/>
      <c r="Y41" s="219"/>
      <c r="Z41" s="220"/>
      <c r="AA41" s="220"/>
      <c r="AB41" s="189"/>
      <c r="AC41" s="189"/>
      <c r="AD41" s="189"/>
      <c r="AE41" s="189"/>
      <c r="AF41" s="189"/>
      <c r="AG41" s="220"/>
      <c r="AH41" s="182"/>
      <c r="AI41" s="182"/>
      <c r="AJ41" s="182"/>
      <c r="AK41" s="182"/>
      <c r="AL41" s="182"/>
      <c r="AM41" s="208"/>
    </row>
    <row r="42" ht="15.75" customHeight="1">
      <c r="A42" s="188"/>
      <c r="B42" s="218"/>
      <c r="C42" s="218"/>
      <c r="D42" s="218"/>
      <c r="E42" s="218"/>
      <c r="F42" s="218"/>
      <c r="G42" s="218"/>
      <c r="U42" s="8"/>
      <c r="Y42" s="219"/>
      <c r="Z42" s="220"/>
      <c r="AA42" s="220"/>
      <c r="AB42" s="189"/>
      <c r="AC42" s="189"/>
      <c r="AD42" s="189"/>
      <c r="AE42" s="189"/>
      <c r="AF42" s="189"/>
      <c r="AG42" s="220"/>
      <c r="AH42" s="182"/>
      <c r="AI42" s="182"/>
      <c r="AJ42" s="182"/>
      <c r="AK42" s="182"/>
      <c r="AL42" s="182"/>
      <c r="AM42" s="208"/>
    </row>
    <row r="43" ht="15.75" customHeight="1">
      <c r="A43" s="188"/>
      <c r="B43" s="103"/>
      <c r="C43" s="103"/>
      <c r="D43" s="103"/>
      <c r="E43" s="103"/>
      <c r="F43" s="103"/>
      <c r="G43" s="103"/>
      <c r="U43" s="8"/>
      <c r="Y43" s="219"/>
      <c r="Z43" s="220"/>
      <c r="AA43" s="220"/>
      <c r="AB43" s="189"/>
      <c r="AC43" s="189"/>
      <c r="AD43" s="189"/>
      <c r="AE43" s="189"/>
      <c r="AF43" s="189"/>
      <c r="AG43" s="220"/>
      <c r="AH43" s="182"/>
      <c r="AI43" s="182"/>
      <c r="AJ43" s="182"/>
      <c r="AK43" s="182"/>
      <c r="AL43" s="182"/>
      <c r="AM43" s="208"/>
    </row>
    <row r="44" ht="15.75" customHeight="1">
      <c r="A44" s="214"/>
      <c r="B44" s="214"/>
      <c r="C44" s="214"/>
      <c r="D44" s="214"/>
      <c r="E44" s="214"/>
      <c r="F44" s="214"/>
      <c r="G44" s="214"/>
      <c r="U44" s="8"/>
      <c r="Y44" s="219"/>
      <c r="Z44" s="220"/>
      <c r="AA44" s="220"/>
      <c r="AB44" s="189"/>
      <c r="AC44" s="189"/>
      <c r="AD44" s="189"/>
      <c r="AE44" s="189"/>
      <c r="AF44" s="189"/>
      <c r="AG44" s="220"/>
      <c r="AH44" s="182"/>
      <c r="AI44" s="182"/>
      <c r="AJ44" s="182"/>
      <c r="AK44" s="182"/>
      <c r="AL44" s="182"/>
      <c r="AM44" s="208"/>
    </row>
    <row r="45" ht="15.75" customHeight="1">
      <c r="A45" s="188"/>
      <c r="B45" s="188"/>
      <c r="C45" s="188"/>
      <c r="D45" s="188"/>
      <c r="E45" s="188"/>
      <c r="F45" s="188"/>
      <c r="G45" s="188"/>
      <c r="U45" s="8"/>
      <c r="Y45" s="219"/>
      <c r="Z45" s="220"/>
      <c r="AA45" s="220"/>
      <c r="AB45" s="189"/>
      <c r="AC45" s="189"/>
      <c r="AD45" s="189"/>
      <c r="AE45" s="189"/>
      <c r="AF45" s="189"/>
      <c r="AG45" s="220"/>
      <c r="AH45" s="182"/>
      <c r="AI45" s="182"/>
      <c r="AJ45" s="182"/>
      <c r="AK45" s="182"/>
      <c r="AL45" s="182"/>
      <c r="AM45" s="208"/>
    </row>
    <row r="46" ht="15.75" customHeight="1">
      <c r="A46" s="188"/>
      <c r="B46" s="221"/>
      <c r="C46" s="221"/>
      <c r="D46" s="221"/>
      <c r="E46" s="221"/>
      <c r="F46" s="221"/>
      <c r="G46" s="221"/>
      <c r="U46" s="8"/>
      <c r="Y46" s="219"/>
      <c r="Z46" s="220"/>
      <c r="AA46" s="220"/>
      <c r="AB46" s="189"/>
      <c r="AC46" s="189"/>
      <c r="AD46" s="189"/>
      <c r="AE46" s="189"/>
      <c r="AF46" s="189"/>
      <c r="AG46" s="220"/>
      <c r="AH46" s="182"/>
      <c r="AI46" s="182"/>
      <c r="AJ46" s="182"/>
      <c r="AK46" s="182"/>
      <c r="AL46" s="182"/>
      <c r="AM46" s="208"/>
    </row>
    <row r="47" ht="15.75" customHeight="1">
      <c r="A47" s="188"/>
      <c r="B47" s="221"/>
      <c r="C47" s="221"/>
      <c r="D47" s="221"/>
      <c r="E47" s="221"/>
      <c r="F47" s="221"/>
      <c r="G47" s="221"/>
      <c r="I47" s="219"/>
      <c r="J47" s="220"/>
      <c r="K47" s="220"/>
      <c r="L47" s="189"/>
      <c r="M47" s="189"/>
      <c r="N47" s="189"/>
      <c r="O47" s="189"/>
      <c r="P47" s="189"/>
      <c r="Q47" s="220"/>
      <c r="R47" s="182"/>
      <c r="S47" s="182"/>
      <c r="T47" s="182"/>
      <c r="U47" s="182"/>
      <c r="V47" s="182"/>
      <c r="W47" s="208"/>
      <c r="Y47" s="219"/>
      <c r="Z47" s="220"/>
      <c r="AA47" s="220"/>
      <c r="AB47" s="189"/>
      <c r="AC47" s="189"/>
      <c r="AD47" s="189"/>
      <c r="AE47" s="189"/>
      <c r="AF47" s="189"/>
      <c r="AG47" s="220"/>
      <c r="AH47" s="182"/>
      <c r="AI47" s="182"/>
      <c r="AJ47" s="182"/>
      <c r="AK47" s="182"/>
      <c r="AL47" s="182"/>
      <c r="AM47" s="208"/>
    </row>
    <row r="48" ht="15.75" customHeight="1">
      <c r="A48" s="188"/>
      <c r="B48" s="221"/>
      <c r="C48" s="221"/>
      <c r="D48" s="221"/>
      <c r="E48" s="221"/>
      <c r="F48" s="221"/>
      <c r="G48" s="221"/>
      <c r="I48" s="219"/>
      <c r="J48" s="220"/>
      <c r="K48" s="220"/>
      <c r="L48" s="189"/>
      <c r="M48" s="189"/>
      <c r="N48" s="189"/>
      <c r="O48" s="189"/>
      <c r="P48" s="189"/>
      <c r="Q48" s="220"/>
      <c r="R48" s="182"/>
      <c r="S48" s="182"/>
      <c r="T48" s="182"/>
      <c r="U48" s="182"/>
      <c r="V48" s="182"/>
      <c r="W48" s="208"/>
      <c r="Y48" s="219"/>
      <c r="Z48" s="220"/>
      <c r="AA48" s="220"/>
      <c r="AB48" s="189"/>
      <c r="AC48" s="189"/>
      <c r="AD48" s="189"/>
      <c r="AE48" s="189"/>
      <c r="AF48" s="189"/>
      <c r="AG48" s="220"/>
      <c r="AH48" s="182"/>
      <c r="AI48" s="182"/>
      <c r="AJ48" s="182"/>
      <c r="AK48" s="182"/>
      <c r="AL48" s="182"/>
      <c r="AM48" s="208"/>
    </row>
    <row r="49" ht="15.75" customHeight="1">
      <c r="A49" s="188"/>
      <c r="B49" s="221"/>
      <c r="C49" s="221"/>
      <c r="D49" s="221"/>
      <c r="E49" s="221"/>
      <c r="F49" s="221"/>
      <c r="G49" s="221"/>
      <c r="I49" s="219"/>
      <c r="J49" s="220"/>
      <c r="K49" s="220"/>
      <c r="L49" s="189"/>
      <c r="M49" s="189"/>
      <c r="N49" s="189"/>
      <c r="O49" s="189"/>
      <c r="P49" s="189"/>
      <c r="Q49" s="220"/>
      <c r="R49" s="182"/>
      <c r="S49" s="182"/>
      <c r="T49" s="182"/>
      <c r="U49" s="182"/>
      <c r="V49" s="182"/>
      <c r="W49" s="208"/>
      <c r="Y49" s="219"/>
      <c r="Z49" s="220"/>
      <c r="AA49" s="220"/>
      <c r="AB49" s="189"/>
      <c r="AC49" s="189"/>
      <c r="AD49" s="189"/>
      <c r="AE49" s="189"/>
      <c r="AF49" s="189"/>
      <c r="AG49" s="220"/>
      <c r="AH49" s="182"/>
      <c r="AI49" s="182"/>
      <c r="AJ49" s="182"/>
      <c r="AK49" s="182"/>
      <c r="AL49" s="182"/>
      <c r="AM49" s="208"/>
    </row>
    <row r="50" ht="15.75" customHeight="1">
      <c r="A50" s="188"/>
      <c r="B50" s="103"/>
      <c r="C50" s="103"/>
      <c r="D50" s="103"/>
      <c r="E50" s="103"/>
      <c r="F50" s="103"/>
      <c r="G50" s="103"/>
      <c r="U50" s="8"/>
    </row>
    <row r="51" ht="15.75" customHeight="1">
      <c r="B51" s="188"/>
      <c r="C51" s="103"/>
      <c r="D51" s="103"/>
      <c r="E51" s="103"/>
      <c r="F51" s="103"/>
      <c r="G51" s="103"/>
      <c r="U51" s="8"/>
    </row>
    <row r="52" ht="15.75" customHeight="1">
      <c r="U52" s="8"/>
    </row>
    <row r="53" ht="15.75" customHeight="1">
      <c r="U53" s="8"/>
    </row>
    <row r="54" ht="15.75" customHeight="1">
      <c r="U54" s="8"/>
    </row>
    <row r="55" ht="15.75" customHeight="1">
      <c r="U55" s="8"/>
    </row>
    <row r="56" ht="15.75" customHeight="1">
      <c r="U56" s="8"/>
    </row>
    <row r="57" ht="15.75" customHeight="1">
      <c r="U57" s="8"/>
    </row>
    <row r="58" ht="15.75" customHeight="1">
      <c r="U58" s="8"/>
    </row>
    <row r="59" ht="15.75" customHeight="1">
      <c r="U59" s="8"/>
    </row>
    <row r="60" ht="15.75" customHeight="1">
      <c r="U60" s="8"/>
    </row>
    <row r="61" ht="15.75" customHeight="1">
      <c r="U61" s="8"/>
    </row>
    <row r="62" ht="15.75" customHeight="1">
      <c r="U62" s="8"/>
    </row>
    <row r="63" ht="15.75" customHeight="1">
      <c r="U63" s="8"/>
    </row>
    <row r="64" ht="15.75" customHeight="1">
      <c r="U64" s="8"/>
    </row>
    <row r="65" ht="15.75" customHeight="1">
      <c r="U65" s="8"/>
    </row>
    <row r="66" ht="15.75" customHeight="1">
      <c r="U66" s="8"/>
    </row>
    <row r="67" ht="15.75" customHeight="1">
      <c r="U67" s="8"/>
    </row>
    <row r="68" ht="15.75" customHeight="1">
      <c r="U68" s="8"/>
    </row>
    <row r="69" ht="15.75" customHeight="1">
      <c r="U69" s="8"/>
    </row>
    <row r="70" ht="15.75" customHeight="1">
      <c r="U70" s="8"/>
    </row>
    <row r="71" ht="15.75" customHeight="1">
      <c r="U71" s="8"/>
    </row>
    <row r="72" ht="15.75" customHeight="1">
      <c r="U72" s="8"/>
    </row>
    <row r="73" ht="15.75" customHeight="1">
      <c r="U73" s="8"/>
    </row>
    <row r="74" ht="15.75" customHeight="1">
      <c r="U74" s="8"/>
    </row>
    <row r="75" ht="15.75" customHeight="1">
      <c r="U75" s="8"/>
    </row>
    <row r="76" ht="15.75" customHeight="1">
      <c r="U76" s="8"/>
    </row>
    <row r="77" ht="15.75" customHeight="1">
      <c r="U77" s="8"/>
    </row>
    <row r="78" ht="15.75" customHeight="1">
      <c r="U78" s="8"/>
    </row>
    <row r="79" ht="15.75" customHeight="1">
      <c r="U79" s="8"/>
    </row>
    <row r="80" ht="15.75" customHeight="1">
      <c r="U80" s="8"/>
    </row>
    <row r="81" ht="15.75" customHeight="1">
      <c r="U81" s="8"/>
    </row>
    <row r="82" ht="15.75" customHeight="1">
      <c r="U82" s="8"/>
    </row>
    <row r="83" ht="15.75" customHeight="1">
      <c r="U83" s="8"/>
    </row>
    <row r="84" ht="15.75" customHeight="1">
      <c r="U84" s="8"/>
    </row>
    <row r="85" ht="15.75" customHeight="1">
      <c r="U85" s="8"/>
    </row>
    <row r="86" ht="15.75" customHeight="1">
      <c r="U86" s="8"/>
    </row>
    <row r="87" ht="15.75" customHeight="1">
      <c r="U87" s="8"/>
    </row>
    <row r="88" ht="15.75" customHeight="1">
      <c r="U88" s="8"/>
    </row>
    <row r="89" ht="15.75" customHeight="1">
      <c r="U89" s="8"/>
    </row>
    <row r="90" ht="15.75" customHeight="1">
      <c r="U90" s="8"/>
    </row>
    <row r="91" ht="15.75" customHeight="1">
      <c r="U91" s="8"/>
    </row>
    <row r="92" ht="15.75" customHeight="1">
      <c r="U92" s="8"/>
    </row>
    <row r="93" ht="15.75" customHeight="1">
      <c r="U93" s="8"/>
    </row>
    <row r="94" ht="15.75" customHeight="1">
      <c r="U94" s="8"/>
    </row>
    <row r="95" ht="15.75" customHeight="1">
      <c r="U95" s="8"/>
    </row>
    <row r="96" ht="15.75" customHeight="1">
      <c r="U96" s="8"/>
    </row>
    <row r="97" ht="15.75" customHeight="1">
      <c r="U97" s="8"/>
    </row>
    <row r="98" ht="15.75" customHeight="1">
      <c r="U98" s="8"/>
    </row>
    <row r="99" ht="15.75" customHeight="1">
      <c r="U99" s="8"/>
    </row>
    <row r="100" ht="15.75" customHeight="1">
      <c r="U100" s="8"/>
    </row>
    <row r="101" ht="15.75" customHeight="1">
      <c r="U101" s="8"/>
    </row>
    <row r="102" ht="15.75" customHeight="1">
      <c r="U102" s="8"/>
    </row>
    <row r="103" ht="15.75" customHeight="1">
      <c r="U103" s="8"/>
    </row>
    <row r="104" ht="15.75" customHeight="1">
      <c r="U104" s="8"/>
    </row>
    <row r="105" ht="15.75" customHeight="1">
      <c r="U105" s="8"/>
    </row>
    <row r="106" ht="15.75" customHeight="1">
      <c r="U106" s="8"/>
    </row>
    <row r="107" ht="15.75" customHeight="1">
      <c r="U107" s="8"/>
    </row>
    <row r="108" ht="15.75" customHeight="1">
      <c r="U108" s="8"/>
    </row>
    <row r="109" ht="15.75" customHeight="1">
      <c r="U109" s="8"/>
    </row>
    <row r="110" ht="15.75" customHeight="1">
      <c r="U110" s="8"/>
    </row>
    <row r="111" ht="15.75" customHeight="1">
      <c r="U111" s="8"/>
    </row>
    <row r="112" ht="15.75" customHeight="1">
      <c r="U112" s="8"/>
    </row>
    <row r="113" ht="15.75" customHeight="1">
      <c r="U113" s="8"/>
    </row>
    <row r="114" ht="15.75" customHeight="1">
      <c r="U114" s="8"/>
    </row>
    <row r="115" ht="15.75" customHeight="1">
      <c r="U115" s="8"/>
    </row>
    <row r="116" ht="15.75" customHeight="1">
      <c r="U116" s="8"/>
    </row>
    <row r="117" ht="15.75" customHeight="1">
      <c r="U117" s="8"/>
    </row>
    <row r="118" ht="15.75" customHeight="1">
      <c r="U118" s="8"/>
    </row>
    <row r="119" ht="15.75" customHeight="1">
      <c r="U119" s="8"/>
    </row>
    <row r="120" ht="15.75" customHeight="1">
      <c r="U120" s="8"/>
    </row>
    <row r="121" ht="15.75" customHeight="1">
      <c r="U121" s="8"/>
    </row>
    <row r="122" ht="15.75" customHeight="1">
      <c r="U122" s="8"/>
    </row>
    <row r="123" ht="15.75" customHeight="1">
      <c r="U123" s="8"/>
    </row>
    <row r="124" ht="15.75" customHeight="1">
      <c r="U124" s="8"/>
    </row>
    <row r="125" ht="15.75" customHeight="1">
      <c r="U125" s="8"/>
    </row>
    <row r="126" ht="15.75" customHeight="1">
      <c r="U126" s="8"/>
    </row>
    <row r="127" ht="15.75" customHeight="1">
      <c r="U127" s="8"/>
    </row>
    <row r="128" ht="15.75" customHeight="1">
      <c r="U128" s="8"/>
    </row>
    <row r="129" ht="15.75" customHeight="1">
      <c r="U129" s="8"/>
    </row>
    <row r="130" ht="15.75" customHeight="1">
      <c r="U130" s="8"/>
    </row>
    <row r="131" ht="15.75" customHeight="1">
      <c r="U131" s="8"/>
    </row>
    <row r="132" ht="15.75" customHeight="1">
      <c r="U132" s="8"/>
    </row>
    <row r="133" ht="15.75" customHeight="1">
      <c r="U133" s="8"/>
    </row>
    <row r="134" ht="15.75" customHeight="1">
      <c r="U134" s="8"/>
    </row>
    <row r="135" ht="15.75" customHeight="1">
      <c r="U135" s="8"/>
    </row>
    <row r="136" ht="15.75" customHeight="1">
      <c r="U136" s="8"/>
    </row>
    <row r="137" ht="15.75" customHeight="1">
      <c r="U137" s="8"/>
    </row>
    <row r="138" ht="15.75" customHeight="1">
      <c r="U138" s="8"/>
    </row>
    <row r="139" ht="15.75" customHeight="1">
      <c r="U139" s="8"/>
    </row>
    <row r="140" ht="15.75" customHeight="1">
      <c r="U140" s="8"/>
    </row>
    <row r="141" ht="15.75" customHeight="1">
      <c r="U141" s="8"/>
    </row>
    <row r="142" ht="15.75" customHeight="1">
      <c r="U142" s="8"/>
    </row>
    <row r="143" ht="15.75" customHeight="1">
      <c r="U143" s="8"/>
    </row>
    <row r="144" ht="15.75" customHeight="1">
      <c r="U144" s="8"/>
    </row>
    <row r="145" ht="15.75" customHeight="1">
      <c r="U145" s="8"/>
    </row>
    <row r="146" ht="15.75" customHeight="1">
      <c r="U146" s="8"/>
    </row>
    <row r="147" ht="15.75" customHeight="1">
      <c r="U147" s="8"/>
    </row>
    <row r="148" ht="15.75" customHeight="1">
      <c r="U148" s="8"/>
    </row>
    <row r="149" ht="15.75" customHeight="1">
      <c r="U149" s="8"/>
    </row>
    <row r="150" ht="15.75" customHeight="1">
      <c r="U150" s="8"/>
    </row>
    <row r="151" ht="15.75" customHeight="1">
      <c r="U151" s="8"/>
    </row>
    <row r="152" ht="15.75" customHeight="1">
      <c r="U152" s="8"/>
    </row>
    <row r="153" ht="15.75" customHeight="1">
      <c r="U153" s="8"/>
    </row>
    <row r="154" ht="15.75" customHeight="1">
      <c r="U154" s="8"/>
    </row>
    <row r="155" ht="15.75" customHeight="1">
      <c r="U155" s="8"/>
    </row>
    <row r="156" ht="15.75" customHeight="1">
      <c r="U156" s="8"/>
    </row>
    <row r="157" ht="15.75" customHeight="1">
      <c r="U157" s="8"/>
    </row>
    <row r="158" ht="15.75" customHeight="1">
      <c r="U158" s="8"/>
    </row>
    <row r="159" ht="15.75" customHeight="1">
      <c r="U159" s="8"/>
    </row>
    <row r="160" ht="15.75" customHeight="1">
      <c r="U160" s="8"/>
    </row>
    <row r="161" ht="15.75" customHeight="1">
      <c r="U161" s="8"/>
    </row>
    <row r="162" ht="15.75" customHeight="1">
      <c r="U162" s="8"/>
    </row>
    <row r="163" ht="15.75" customHeight="1">
      <c r="U163" s="8"/>
    </row>
    <row r="164" ht="15.75" customHeight="1">
      <c r="U164" s="8"/>
    </row>
    <row r="165" ht="15.75" customHeight="1">
      <c r="U165" s="8"/>
    </row>
    <row r="166" ht="15.75" customHeight="1">
      <c r="U166" s="8"/>
    </row>
    <row r="167" ht="15.75" customHeight="1">
      <c r="U167" s="8"/>
    </row>
    <row r="168" ht="15.75" customHeight="1">
      <c r="U168" s="8"/>
    </row>
    <row r="169" ht="15.75" customHeight="1">
      <c r="U169" s="8"/>
    </row>
    <row r="170" ht="15.75" customHeight="1">
      <c r="U170" s="8"/>
    </row>
    <row r="171" ht="15.75" customHeight="1">
      <c r="U171" s="8"/>
    </row>
    <row r="172" ht="15.75" customHeight="1">
      <c r="U172" s="8"/>
    </row>
    <row r="173" ht="15.75" customHeight="1">
      <c r="U173" s="8"/>
    </row>
    <row r="174" ht="15.75" customHeight="1">
      <c r="U174" s="8"/>
    </row>
    <row r="175" ht="15.75" customHeight="1">
      <c r="U175" s="8"/>
    </row>
    <row r="176" ht="15.75" customHeight="1">
      <c r="U176" s="8"/>
    </row>
    <row r="177" ht="15.75" customHeight="1">
      <c r="U177" s="8"/>
    </row>
    <row r="178" ht="15.75" customHeight="1">
      <c r="U178" s="8"/>
    </row>
    <row r="179" ht="15.75" customHeight="1">
      <c r="U179" s="8"/>
    </row>
    <row r="180" ht="15.75" customHeight="1">
      <c r="U180" s="8"/>
    </row>
    <row r="181" ht="15.75" customHeight="1">
      <c r="U181" s="8"/>
    </row>
    <row r="182" ht="15.75" customHeight="1">
      <c r="U182" s="8"/>
    </row>
    <row r="183" ht="15.75" customHeight="1">
      <c r="U183" s="8"/>
    </row>
    <row r="184" ht="15.75" customHeight="1">
      <c r="U184" s="8"/>
    </row>
    <row r="185" ht="15.75" customHeight="1">
      <c r="U185" s="8"/>
    </row>
    <row r="186" ht="15.75" customHeight="1">
      <c r="U186" s="8"/>
    </row>
    <row r="187" ht="15.75" customHeight="1">
      <c r="U187" s="8"/>
    </row>
    <row r="188" ht="15.75" customHeight="1">
      <c r="U188" s="8"/>
    </row>
    <row r="189" ht="15.75" customHeight="1">
      <c r="U189" s="8"/>
    </row>
    <row r="190" ht="15.75" customHeight="1">
      <c r="U190" s="8"/>
    </row>
    <row r="191" ht="15.75" customHeight="1">
      <c r="U191" s="8"/>
    </row>
    <row r="192" ht="15.75" customHeight="1">
      <c r="U192" s="8"/>
    </row>
    <row r="193" ht="15.75" customHeight="1">
      <c r="U193" s="8"/>
    </row>
    <row r="194" ht="15.75" customHeight="1">
      <c r="U194" s="8"/>
    </row>
    <row r="195" ht="15.75" customHeight="1">
      <c r="U195" s="8"/>
    </row>
    <row r="196" ht="15.75" customHeight="1">
      <c r="U196" s="8"/>
    </row>
    <row r="197" ht="15.75" customHeight="1">
      <c r="U197" s="8"/>
    </row>
    <row r="198" ht="15.75" customHeight="1">
      <c r="U198" s="8"/>
    </row>
    <row r="199" ht="15.75" customHeight="1">
      <c r="U199" s="8"/>
    </row>
    <row r="200" ht="15.75" customHeight="1">
      <c r="U200" s="8"/>
    </row>
    <row r="201" ht="15.75" customHeight="1">
      <c r="U201" s="8"/>
    </row>
    <row r="202" ht="15.75" customHeight="1">
      <c r="U202" s="8"/>
    </row>
    <row r="203" ht="15.75" customHeight="1">
      <c r="U203" s="8"/>
    </row>
    <row r="204" ht="15.75" customHeight="1">
      <c r="U204" s="8"/>
    </row>
    <row r="205" ht="15.75" customHeight="1">
      <c r="U205" s="8"/>
    </row>
    <row r="206" ht="15.75" customHeight="1">
      <c r="U206" s="8"/>
    </row>
    <row r="207" ht="15.75" customHeight="1">
      <c r="U207" s="8"/>
    </row>
    <row r="208" ht="15.75" customHeight="1">
      <c r="U208" s="8"/>
    </row>
    <row r="209" ht="15.75" customHeight="1">
      <c r="U209" s="8"/>
    </row>
    <row r="210" ht="15.75" customHeight="1">
      <c r="U210" s="8"/>
    </row>
    <row r="211" ht="15.75" customHeight="1">
      <c r="U211" s="8"/>
    </row>
    <row r="212" ht="15.75" customHeight="1">
      <c r="U212" s="8"/>
    </row>
    <row r="213" ht="15.75" customHeight="1">
      <c r="U213" s="8"/>
    </row>
    <row r="214" ht="15.75" customHeight="1">
      <c r="U214" s="8"/>
    </row>
    <row r="215" ht="15.75" customHeight="1">
      <c r="U215" s="8"/>
    </row>
    <row r="216" ht="15.75" customHeight="1">
      <c r="U216" s="8"/>
    </row>
    <row r="217" ht="15.75" customHeight="1">
      <c r="U217" s="8"/>
    </row>
    <row r="218" ht="15.75" customHeight="1">
      <c r="U218" s="8"/>
    </row>
    <row r="219" ht="15.75" customHeight="1">
      <c r="U219" s="8"/>
    </row>
    <row r="220" ht="15.75" customHeight="1">
      <c r="U220" s="8"/>
    </row>
    <row r="221" ht="15.75" customHeight="1">
      <c r="U221" s="8"/>
    </row>
    <row r="222" ht="15.75" customHeight="1">
      <c r="U222" s="8"/>
    </row>
    <row r="223" ht="15.75" customHeight="1">
      <c r="U223" s="8"/>
    </row>
    <row r="224" ht="15.75" customHeight="1">
      <c r="U224" s="8"/>
    </row>
    <row r="225" ht="15.75" customHeight="1">
      <c r="U225" s="8"/>
    </row>
    <row r="226" ht="15.75" customHeight="1">
      <c r="U226" s="8"/>
    </row>
    <row r="227" ht="15.75" customHeight="1">
      <c r="U227" s="8"/>
    </row>
    <row r="228" ht="15.75" customHeight="1">
      <c r="U228" s="8"/>
    </row>
    <row r="229" ht="15.75" customHeight="1">
      <c r="U229" s="8"/>
    </row>
    <row r="230" ht="15.75" customHeight="1">
      <c r="U230" s="8"/>
    </row>
    <row r="231" ht="15.75" customHeight="1">
      <c r="U231" s="8"/>
    </row>
    <row r="232" ht="15.75" customHeight="1">
      <c r="U232" s="8"/>
    </row>
    <row r="233" ht="15.75" customHeight="1">
      <c r="U233" s="8"/>
    </row>
    <row r="234" ht="15.75" customHeight="1">
      <c r="U234" s="8"/>
    </row>
    <row r="235" ht="15.75" customHeight="1">
      <c r="U235" s="8"/>
    </row>
    <row r="236" ht="15.75" customHeight="1">
      <c r="U236" s="8"/>
    </row>
    <row r="237" ht="15.75" customHeight="1">
      <c r="U237" s="8"/>
    </row>
    <row r="238" ht="15.75" customHeight="1">
      <c r="U238" s="8"/>
    </row>
    <row r="239" ht="15.75" customHeight="1">
      <c r="U239" s="8"/>
    </row>
    <row r="240" ht="15.75" customHeight="1">
      <c r="U240" s="8"/>
    </row>
    <row r="241" ht="15.75" customHeight="1">
      <c r="U241" s="8"/>
    </row>
    <row r="242" ht="15.75" customHeight="1">
      <c r="U242" s="8"/>
    </row>
    <row r="243" ht="15.75" customHeight="1">
      <c r="U243" s="8"/>
    </row>
    <row r="244" ht="15.75" customHeight="1">
      <c r="U244" s="8"/>
    </row>
    <row r="245" ht="15.75" customHeight="1">
      <c r="U245" s="8"/>
    </row>
    <row r="246" ht="15.75" customHeight="1">
      <c r="U246" s="8"/>
    </row>
    <row r="247" ht="15.75" customHeight="1">
      <c r="U247" s="8"/>
    </row>
    <row r="248" ht="15.75" customHeight="1">
      <c r="U248" s="8"/>
    </row>
    <row r="249" ht="15.75" customHeight="1">
      <c r="U249" s="8"/>
    </row>
    <row r="250" ht="15.75" customHeight="1">
      <c r="U250" s="8"/>
    </row>
    <row r="251" ht="15.75" customHeight="1">
      <c r="U251" s="8"/>
    </row>
    <row r="252" ht="15.75" customHeight="1">
      <c r="U252" s="8"/>
    </row>
    <row r="253" ht="15.75" customHeight="1">
      <c r="U253" s="8"/>
    </row>
    <row r="254" ht="15.75" customHeight="1">
      <c r="U254" s="8"/>
    </row>
    <row r="255" ht="15.75" customHeight="1">
      <c r="U255" s="8"/>
    </row>
    <row r="256" ht="15.75" customHeight="1">
      <c r="U256" s="8"/>
    </row>
    <row r="257" ht="15.75" customHeight="1">
      <c r="U257" s="8"/>
    </row>
    <row r="258" ht="15.75" customHeight="1">
      <c r="U258" s="8"/>
    </row>
    <row r="259" ht="15.75" customHeight="1">
      <c r="U259" s="8"/>
    </row>
    <row r="260" ht="15.75" customHeight="1">
      <c r="U260" s="8"/>
    </row>
    <row r="261" ht="15.75" customHeight="1">
      <c r="U261" s="8"/>
    </row>
    <row r="262" ht="15.75" customHeight="1">
      <c r="U262" s="8"/>
    </row>
    <row r="263" ht="15.75" customHeight="1">
      <c r="U263" s="8"/>
    </row>
    <row r="264" ht="15.75" customHeight="1">
      <c r="U264" s="8"/>
    </row>
    <row r="265" ht="15.75" customHeight="1">
      <c r="U265" s="8"/>
    </row>
    <row r="266" ht="15.75" customHeight="1">
      <c r="U266" s="8"/>
    </row>
    <row r="267" ht="15.75" customHeight="1">
      <c r="U267" s="8"/>
    </row>
    <row r="268" ht="15.75" customHeight="1">
      <c r="U268" s="8"/>
    </row>
    <row r="269" ht="15.75" customHeight="1">
      <c r="U269" s="8"/>
    </row>
    <row r="270" ht="15.75" customHeight="1">
      <c r="U270" s="8"/>
    </row>
    <row r="271" ht="15.75" customHeight="1">
      <c r="U271" s="8"/>
    </row>
    <row r="272" ht="15.75" customHeight="1">
      <c r="U272" s="8"/>
    </row>
    <row r="273" ht="15.75" customHeight="1">
      <c r="U273" s="8"/>
    </row>
    <row r="274" ht="15.75" customHeight="1">
      <c r="U274" s="8"/>
    </row>
    <row r="275" ht="15.75" customHeight="1">
      <c r="U275" s="8"/>
    </row>
    <row r="276" ht="15.75" customHeight="1">
      <c r="U276" s="8"/>
    </row>
    <row r="277" ht="15.75" customHeight="1">
      <c r="U277" s="8"/>
    </row>
    <row r="278" ht="15.75" customHeight="1">
      <c r="U278" s="8"/>
    </row>
    <row r="279" ht="15.75" customHeight="1">
      <c r="U279" s="8"/>
    </row>
    <row r="280" ht="15.75" customHeight="1">
      <c r="U280" s="8"/>
    </row>
    <row r="281" ht="15.75" customHeight="1">
      <c r="U281" s="8"/>
    </row>
    <row r="282" ht="15.75" customHeight="1">
      <c r="U282" s="8"/>
    </row>
    <row r="283" ht="15.75" customHeight="1">
      <c r="U283" s="8"/>
    </row>
    <row r="284" ht="15.75" customHeight="1">
      <c r="U284" s="8"/>
    </row>
    <row r="285" ht="15.75" customHeight="1">
      <c r="U285" s="8"/>
    </row>
    <row r="286" ht="15.75" customHeight="1">
      <c r="U286" s="8"/>
    </row>
    <row r="287" ht="15.75" customHeight="1">
      <c r="U287" s="8"/>
    </row>
    <row r="288" ht="15.75" customHeight="1">
      <c r="U288" s="8"/>
    </row>
    <row r="289" ht="15.75" customHeight="1">
      <c r="U289" s="8"/>
    </row>
    <row r="290" ht="15.75" customHeight="1">
      <c r="U290" s="8"/>
    </row>
    <row r="291" ht="15.75" customHeight="1">
      <c r="U291" s="8"/>
    </row>
    <row r="292" ht="15.75" customHeight="1">
      <c r="U292" s="8"/>
    </row>
    <row r="293" ht="15.75" customHeight="1">
      <c r="U293" s="8"/>
    </row>
    <row r="294" ht="15.75" customHeight="1">
      <c r="U294" s="8"/>
    </row>
    <row r="295" ht="15.75" customHeight="1">
      <c r="U295" s="8"/>
    </row>
    <row r="296" ht="15.75" customHeight="1">
      <c r="U296" s="8"/>
    </row>
    <row r="297" ht="15.75" customHeight="1">
      <c r="U297" s="8"/>
    </row>
    <row r="298" ht="15.75" customHeight="1">
      <c r="U298" s="8"/>
    </row>
    <row r="299" ht="15.75" customHeight="1">
      <c r="U299" s="8"/>
    </row>
    <row r="300" ht="15.75" customHeight="1">
      <c r="U300" s="8"/>
    </row>
    <row r="301" ht="15.75" customHeight="1">
      <c r="U301" s="8"/>
    </row>
    <row r="302" ht="15.75" customHeight="1">
      <c r="U302" s="8"/>
    </row>
    <row r="303" ht="15.75" customHeight="1">
      <c r="U303" s="8"/>
    </row>
    <row r="304" ht="15.75" customHeight="1">
      <c r="U304" s="8"/>
    </row>
    <row r="305" ht="15.75" customHeight="1">
      <c r="U305" s="8"/>
    </row>
    <row r="306" ht="15.75" customHeight="1">
      <c r="U306" s="8"/>
    </row>
    <row r="307" ht="15.75" customHeight="1">
      <c r="U307" s="8"/>
    </row>
    <row r="308" ht="15.75" customHeight="1">
      <c r="U308" s="8"/>
    </row>
    <row r="309" ht="15.75" customHeight="1">
      <c r="U309" s="8"/>
    </row>
    <row r="310" ht="15.75" customHeight="1">
      <c r="U310" s="8"/>
    </row>
    <row r="311" ht="15.75" customHeight="1">
      <c r="U311" s="8"/>
    </row>
    <row r="312" ht="15.75" customHeight="1">
      <c r="U312" s="8"/>
    </row>
    <row r="313" ht="15.75" customHeight="1">
      <c r="U313" s="8"/>
    </row>
    <row r="314" ht="15.75" customHeight="1">
      <c r="U314" s="8"/>
    </row>
    <row r="315" ht="15.75" customHeight="1">
      <c r="U315" s="8"/>
    </row>
    <row r="316" ht="15.75" customHeight="1">
      <c r="U316" s="8"/>
    </row>
    <row r="317" ht="15.75" customHeight="1">
      <c r="U317" s="8"/>
    </row>
    <row r="318" ht="15.75" customHeight="1">
      <c r="U318" s="8"/>
    </row>
    <row r="319" ht="15.75" customHeight="1">
      <c r="U319" s="8"/>
    </row>
    <row r="320" ht="15.75" customHeight="1">
      <c r="U320" s="8"/>
    </row>
    <row r="321" ht="15.75" customHeight="1">
      <c r="U321" s="8"/>
    </row>
    <row r="322" ht="15.75" customHeight="1">
      <c r="U322" s="8"/>
    </row>
    <row r="323" ht="15.75" customHeight="1">
      <c r="U323" s="8"/>
    </row>
    <row r="324" ht="15.75" customHeight="1">
      <c r="U324" s="8"/>
    </row>
    <row r="325" ht="15.75" customHeight="1">
      <c r="U325" s="8"/>
    </row>
    <row r="326" ht="15.75" customHeight="1">
      <c r="U326" s="8"/>
    </row>
    <row r="327" ht="15.75" customHeight="1">
      <c r="U327" s="8"/>
    </row>
    <row r="328" ht="15.75" customHeight="1">
      <c r="U328" s="8"/>
    </row>
    <row r="329" ht="15.75" customHeight="1">
      <c r="U329" s="8"/>
    </row>
    <row r="330" ht="15.75" customHeight="1">
      <c r="U330" s="8"/>
    </row>
    <row r="331" ht="15.75" customHeight="1">
      <c r="U331" s="8"/>
    </row>
    <row r="332" ht="15.75" customHeight="1">
      <c r="U332" s="8"/>
    </row>
    <row r="333" ht="15.75" customHeight="1">
      <c r="U333" s="8"/>
    </row>
    <row r="334" ht="15.75" customHeight="1">
      <c r="U334" s="8"/>
    </row>
    <row r="335" ht="15.75" customHeight="1">
      <c r="U335" s="8"/>
    </row>
    <row r="336" ht="15.75" customHeight="1">
      <c r="U336" s="8"/>
    </row>
    <row r="337" ht="15.75" customHeight="1">
      <c r="U337" s="8"/>
    </row>
    <row r="338" ht="15.75" customHeight="1">
      <c r="U338" s="8"/>
    </row>
    <row r="339" ht="15.75" customHeight="1">
      <c r="U339" s="8"/>
    </row>
    <row r="340" ht="15.75" customHeight="1">
      <c r="U340" s="8"/>
    </row>
    <row r="341" ht="15.75" customHeight="1">
      <c r="U341" s="8"/>
    </row>
    <row r="342" ht="15.75" customHeight="1">
      <c r="U342" s="8"/>
    </row>
    <row r="343" ht="15.75" customHeight="1">
      <c r="U343" s="8"/>
    </row>
    <row r="344" ht="15.75" customHeight="1">
      <c r="U344" s="8"/>
    </row>
    <row r="345" ht="15.75" customHeight="1">
      <c r="U345" s="8"/>
    </row>
    <row r="346" ht="15.75" customHeight="1">
      <c r="U346" s="8"/>
    </row>
    <row r="347" ht="15.75" customHeight="1">
      <c r="U347" s="8"/>
    </row>
    <row r="348" ht="15.75" customHeight="1">
      <c r="U348" s="8"/>
    </row>
    <row r="349" ht="15.75" customHeight="1">
      <c r="U349" s="8"/>
    </row>
    <row r="350" ht="15.75" customHeight="1">
      <c r="U350" s="8"/>
    </row>
    <row r="351" ht="15.75" customHeight="1">
      <c r="U351" s="8"/>
    </row>
    <row r="352" ht="15.75" customHeight="1">
      <c r="U352" s="8"/>
    </row>
    <row r="353" ht="15.75" customHeight="1">
      <c r="U353" s="8"/>
    </row>
    <row r="354" ht="15.75" customHeight="1">
      <c r="U354" s="8"/>
    </row>
    <row r="355" ht="15.75" customHeight="1">
      <c r="U355" s="8"/>
    </row>
    <row r="356" ht="15.75" customHeight="1">
      <c r="U356" s="8"/>
    </row>
    <row r="357" ht="15.75" customHeight="1">
      <c r="U357" s="8"/>
    </row>
    <row r="358" ht="15.75" customHeight="1">
      <c r="U358" s="8"/>
    </row>
    <row r="359" ht="15.75" customHeight="1">
      <c r="U359" s="8"/>
    </row>
    <row r="360" ht="15.75" customHeight="1">
      <c r="U360" s="8"/>
    </row>
    <row r="361" ht="15.75" customHeight="1">
      <c r="U361" s="8"/>
    </row>
    <row r="362" ht="15.75" customHeight="1">
      <c r="U362" s="8"/>
    </row>
    <row r="363" ht="15.75" customHeight="1">
      <c r="U363" s="8"/>
    </row>
    <row r="364" ht="15.75" customHeight="1">
      <c r="U364" s="8"/>
    </row>
    <row r="365" ht="15.75" customHeight="1">
      <c r="U365" s="8"/>
    </row>
    <row r="366" ht="15.75" customHeight="1">
      <c r="U366" s="8"/>
    </row>
    <row r="367" ht="15.75" customHeight="1">
      <c r="U367" s="8"/>
    </row>
    <row r="368" ht="15.75" customHeight="1">
      <c r="U368" s="8"/>
    </row>
    <row r="369" ht="15.75" customHeight="1">
      <c r="U369" s="8"/>
    </row>
    <row r="370" ht="15.75" customHeight="1">
      <c r="U370" s="8"/>
    </row>
    <row r="371" ht="15.75" customHeight="1">
      <c r="U371" s="8"/>
    </row>
    <row r="372" ht="15.75" customHeight="1">
      <c r="U372" s="8"/>
    </row>
    <row r="373" ht="15.75" customHeight="1">
      <c r="U373" s="8"/>
    </row>
    <row r="374" ht="15.75" customHeight="1">
      <c r="U374" s="8"/>
    </row>
    <row r="375" ht="15.75" customHeight="1">
      <c r="U375" s="8"/>
    </row>
    <row r="376" ht="15.75" customHeight="1">
      <c r="U376" s="8"/>
    </row>
    <row r="377" ht="15.75" customHeight="1">
      <c r="U377" s="8"/>
    </row>
    <row r="378" ht="15.75" customHeight="1">
      <c r="U378" s="8"/>
    </row>
    <row r="379" ht="15.75" customHeight="1">
      <c r="U379" s="8"/>
    </row>
    <row r="380" ht="15.75" customHeight="1">
      <c r="U380" s="8"/>
    </row>
    <row r="381" ht="15.75" customHeight="1">
      <c r="U381" s="8"/>
    </row>
    <row r="382" ht="15.75" customHeight="1">
      <c r="U382" s="8"/>
    </row>
    <row r="383" ht="15.75" customHeight="1">
      <c r="U383" s="8"/>
    </row>
    <row r="384" ht="15.75" customHeight="1">
      <c r="U384" s="8"/>
    </row>
    <row r="385" ht="15.75" customHeight="1">
      <c r="U385" s="8"/>
    </row>
    <row r="386" ht="15.75" customHeight="1">
      <c r="U386" s="8"/>
    </row>
    <row r="387" ht="15.75" customHeight="1">
      <c r="U387" s="8"/>
    </row>
    <row r="388" ht="15.75" customHeight="1">
      <c r="U388" s="8"/>
    </row>
    <row r="389" ht="15.75" customHeight="1">
      <c r="U389" s="8"/>
    </row>
    <row r="390" ht="15.75" customHeight="1">
      <c r="U390" s="8"/>
    </row>
    <row r="391" ht="15.75" customHeight="1">
      <c r="U391" s="8"/>
    </row>
    <row r="392" ht="15.75" customHeight="1">
      <c r="U392" s="8"/>
    </row>
    <row r="393" ht="15.75" customHeight="1">
      <c r="U393" s="8"/>
    </row>
    <row r="394" ht="15.75" customHeight="1">
      <c r="U394" s="8"/>
    </row>
    <row r="395" ht="15.75" customHeight="1">
      <c r="U395" s="8"/>
    </row>
    <row r="396" ht="15.75" customHeight="1">
      <c r="U396" s="8"/>
    </row>
    <row r="397" ht="15.75" customHeight="1">
      <c r="U397" s="8"/>
    </row>
    <row r="398" ht="15.75" customHeight="1">
      <c r="U398" s="8"/>
    </row>
    <row r="399" ht="15.75" customHeight="1">
      <c r="U399" s="8"/>
    </row>
    <row r="400" ht="15.75" customHeight="1">
      <c r="U400" s="8"/>
    </row>
    <row r="401" ht="15.75" customHeight="1">
      <c r="U401" s="8"/>
    </row>
    <row r="402" ht="15.75" customHeight="1">
      <c r="U402" s="8"/>
    </row>
    <row r="403" ht="15.75" customHeight="1">
      <c r="U403" s="8"/>
    </row>
    <row r="404" ht="15.75" customHeight="1">
      <c r="U404" s="8"/>
    </row>
    <row r="405" ht="15.75" customHeight="1">
      <c r="U405" s="8"/>
    </row>
    <row r="406" ht="15.75" customHeight="1">
      <c r="U406" s="8"/>
    </row>
    <row r="407" ht="15.75" customHeight="1">
      <c r="U407" s="8"/>
    </row>
    <row r="408" ht="15.75" customHeight="1">
      <c r="U408" s="8"/>
    </row>
    <row r="409" ht="15.75" customHeight="1">
      <c r="U409" s="8"/>
    </row>
    <row r="410" ht="15.75" customHeight="1">
      <c r="U410" s="8"/>
    </row>
    <row r="411" ht="15.75" customHeight="1">
      <c r="U411" s="8"/>
    </row>
    <row r="412" ht="15.75" customHeight="1">
      <c r="U412" s="8"/>
    </row>
    <row r="413" ht="15.75" customHeight="1">
      <c r="U413" s="8"/>
    </row>
    <row r="414" ht="15.75" customHeight="1">
      <c r="U414" s="8"/>
    </row>
    <row r="415" ht="15.75" customHeight="1">
      <c r="U415" s="8"/>
    </row>
    <row r="416" ht="15.75" customHeight="1">
      <c r="U416" s="8"/>
    </row>
    <row r="417" ht="15.75" customHeight="1">
      <c r="U417" s="8"/>
    </row>
    <row r="418" ht="15.75" customHeight="1">
      <c r="U418" s="8"/>
    </row>
    <row r="419" ht="15.75" customHeight="1">
      <c r="U419" s="8"/>
    </row>
    <row r="420" ht="15.75" customHeight="1">
      <c r="U420" s="8"/>
    </row>
    <row r="421" ht="15.75" customHeight="1">
      <c r="U421" s="8"/>
    </row>
    <row r="422" ht="15.75" customHeight="1">
      <c r="U422" s="8"/>
    </row>
    <row r="423" ht="15.75" customHeight="1">
      <c r="U423" s="8"/>
    </row>
    <row r="424" ht="15.75" customHeight="1">
      <c r="U424" s="8"/>
    </row>
    <row r="425" ht="15.75" customHeight="1">
      <c r="U425" s="8"/>
    </row>
    <row r="426" ht="15.75" customHeight="1">
      <c r="U426" s="8"/>
    </row>
    <row r="427" ht="15.75" customHeight="1">
      <c r="U427" s="8"/>
    </row>
    <row r="428" ht="15.75" customHeight="1">
      <c r="U428" s="8"/>
    </row>
    <row r="429" ht="15.75" customHeight="1">
      <c r="U429" s="8"/>
    </row>
    <row r="430" ht="15.75" customHeight="1">
      <c r="U430" s="8"/>
    </row>
    <row r="431" ht="15.75" customHeight="1">
      <c r="U431" s="8"/>
    </row>
    <row r="432" ht="15.75" customHeight="1">
      <c r="U432" s="8"/>
    </row>
    <row r="433" ht="15.75" customHeight="1">
      <c r="U433" s="8"/>
    </row>
    <row r="434" ht="15.75" customHeight="1">
      <c r="U434" s="8"/>
    </row>
    <row r="435" ht="15.75" customHeight="1">
      <c r="U435" s="8"/>
    </row>
    <row r="436" ht="15.75" customHeight="1">
      <c r="U436" s="8"/>
    </row>
    <row r="437" ht="15.75" customHeight="1">
      <c r="U437" s="8"/>
    </row>
    <row r="438" ht="15.75" customHeight="1">
      <c r="U438" s="8"/>
    </row>
    <row r="439" ht="15.75" customHeight="1">
      <c r="U439" s="8"/>
    </row>
    <row r="440" ht="15.75" customHeight="1">
      <c r="U440" s="8"/>
    </row>
    <row r="441" ht="15.75" customHeight="1">
      <c r="U441" s="8"/>
    </row>
    <row r="442" ht="15.75" customHeight="1">
      <c r="U442" s="8"/>
    </row>
    <row r="443" ht="15.75" customHeight="1">
      <c r="U443" s="8"/>
    </row>
    <row r="444" ht="15.75" customHeight="1">
      <c r="U444" s="8"/>
    </row>
    <row r="445" ht="15.75" customHeight="1">
      <c r="U445" s="8"/>
    </row>
    <row r="446" ht="15.75" customHeight="1">
      <c r="U446" s="8"/>
    </row>
    <row r="447" ht="15.75" customHeight="1">
      <c r="U447" s="8"/>
    </row>
    <row r="448" ht="15.75" customHeight="1">
      <c r="U448" s="8"/>
    </row>
    <row r="449" ht="15.75" customHeight="1">
      <c r="U449" s="8"/>
    </row>
    <row r="450" ht="15.75" customHeight="1">
      <c r="U450" s="8"/>
    </row>
    <row r="451" ht="15.75" customHeight="1">
      <c r="U451" s="8"/>
    </row>
    <row r="452" ht="15.75" customHeight="1">
      <c r="U452" s="8"/>
    </row>
    <row r="453" ht="15.75" customHeight="1">
      <c r="U453" s="8"/>
    </row>
    <row r="454" ht="15.75" customHeight="1">
      <c r="U454" s="8"/>
    </row>
    <row r="455" ht="15.75" customHeight="1">
      <c r="U455" s="8"/>
    </row>
    <row r="456" ht="15.75" customHeight="1">
      <c r="U456" s="8"/>
    </row>
    <row r="457" ht="15.75" customHeight="1">
      <c r="U457" s="8"/>
    </row>
    <row r="458" ht="15.75" customHeight="1">
      <c r="U458" s="8"/>
    </row>
    <row r="459" ht="15.75" customHeight="1">
      <c r="U459" s="8"/>
    </row>
    <row r="460" ht="15.75" customHeight="1">
      <c r="U460" s="8"/>
    </row>
    <row r="461" ht="15.75" customHeight="1">
      <c r="U461" s="8"/>
    </row>
    <row r="462" ht="15.75" customHeight="1">
      <c r="U462" s="8"/>
    </row>
    <row r="463" ht="15.75" customHeight="1">
      <c r="U463" s="8"/>
    </row>
    <row r="464" ht="15.75" customHeight="1">
      <c r="U464" s="8"/>
    </row>
    <row r="465" ht="15.75" customHeight="1">
      <c r="U465" s="8"/>
    </row>
    <row r="466" ht="15.75" customHeight="1">
      <c r="U466" s="8"/>
    </row>
    <row r="467" ht="15.75" customHeight="1">
      <c r="U467" s="8"/>
    </row>
    <row r="468" ht="15.75" customHeight="1">
      <c r="U468" s="8"/>
    </row>
    <row r="469" ht="15.75" customHeight="1">
      <c r="U469" s="8"/>
    </row>
    <row r="470" ht="15.75" customHeight="1">
      <c r="U470" s="8"/>
    </row>
    <row r="471" ht="15.75" customHeight="1">
      <c r="U471" s="8"/>
    </row>
    <row r="472" ht="15.75" customHeight="1">
      <c r="U472" s="8"/>
    </row>
    <row r="473" ht="15.75" customHeight="1">
      <c r="U473" s="8"/>
    </row>
    <row r="474" ht="15.75" customHeight="1">
      <c r="U474" s="8"/>
    </row>
    <row r="475" ht="15.75" customHeight="1">
      <c r="U475" s="8"/>
    </row>
    <row r="476" ht="15.75" customHeight="1">
      <c r="U476" s="8"/>
    </row>
    <row r="477" ht="15.75" customHeight="1">
      <c r="U477" s="8"/>
    </row>
    <row r="478" ht="15.75" customHeight="1">
      <c r="U478" s="8"/>
    </row>
    <row r="479" ht="15.75" customHeight="1">
      <c r="U479" s="8"/>
    </row>
    <row r="480" ht="15.75" customHeight="1">
      <c r="U480" s="8"/>
    </row>
    <row r="481" ht="15.75" customHeight="1">
      <c r="U481" s="8"/>
    </row>
    <row r="482" ht="15.75" customHeight="1">
      <c r="U482" s="8"/>
    </row>
    <row r="483" ht="15.75" customHeight="1">
      <c r="U483" s="8"/>
    </row>
    <row r="484" ht="15.75" customHeight="1">
      <c r="U484" s="8"/>
    </row>
    <row r="485" ht="15.75" customHeight="1">
      <c r="U485" s="8"/>
    </row>
    <row r="486" ht="15.75" customHeight="1">
      <c r="U486" s="8"/>
    </row>
    <row r="487" ht="15.75" customHeight="1">
      <c r="U487" s="8"/>
    </row>
    <row r="488" ht="15.75" customHeight="1">
      <c r="U488" s="8"/>
    </row>
    <row r="489" ht="15.75" customHeight="1">
      <c r="U489" s="8"/>
    </row>
    <row r="490" ht="15.75" customHeight="1">
      <c r="U490" s="8"/>
    </row>
    <row r="491" ht="15.75" customHeight="1">
      <c r="U491" s="8"/>
    </row>
    <row r="492" ht="15.75" customHeight="1">
      <c r="U492" s="8"/>
    </row>
    <row r="493" ht="15.75" customHeight="1">
      <c r="U493" s="8"/>
    </row>
    <row r="494" ht="15.75" customHeight="1">
      <c r="U494" s="8"/>
    </row>
    <row r="495" ht="15.75" customHeight="1">
      <c r="U495" s="8"/>
    </row>
    <row r="496" ht="15.75" customHeight="1">
      <c r="U496" s="8"/>
    </row>
    <row r="497" ht="15.75" customHeight="1">
      <c r="U497" s="8"/>
    </row>
    <row r="498" ht="15.75" customHeight="1">
      <c r="U498" s="8"/>
    </row>
    <row r="499" ht="15.75" customHeight="1">
      <c r="U499" s="8"/>
    </row>
    <row r="500" ht="15.75" customHeight="1">
      <c r="U500" s="8"/>
    </row>
    <row r="501" ht="15.75" customHeight="1">
      <c r="U501" s="8"/>
    </row>
    <row r="502" ht="15.75" customHeight="1">
      <c r="U502" s="8"/>
    </row>
    <row r="503" ht="15.75" customHeight="1">
      <c r="U503" s="8"/>
    </row>
    <row r="504" ht="15.75" customHeight="1">
      <c r="U504" s="8"/>
    </row>
    <row r="505" ht="15.75" customHeight="1">
      <c r="U505" s="8"/>
    </row>
    <row r="506" ht="15.75" customHeight="1">
      <c r="U506" s="8"/>
    </row>
    <row r="507" ht="15.75" customHeight="1">
      <c r="U507" s="8"/>
    </row>
    <row r="508" ht="15.75" customHeight="1">
      <c r="U508" s="8"/>
    </row>
    <row r="509" ht="15.75" customHeight="1">
      <c r="U509" s="8"/>
    </row>
    <row r="510" ht="15.75" customHeight="1">
      <c r="U510" s="8"/>
    </row>
    <row r="511" ht="15.75" customHeight="1">
      <c r="U511" s="8"/>
    </row>
    <row r="512" ht="15.75" customHeight="1">
      <c r="U512" s="8"/>
    </row>
    <row r="513" ht="15.75" customHeight="1">
      <c r="U513" s="8"/>
    </row>
    <row r="514" ht="15.75" customHeight="1">
      <c r="U514" s="8"/>
    </row>
    <row r="515" ht="15.75" customHeight="1">
      <c r="U515" s="8"/>
    </row>
    <row r="516" ht="15.75" customHeight="1">
      <c r="U516" s="8"/>
    </row>
    <row r="517" ht="15.75" customHeight="1">
      <c r="U517" s="8"/>
    </row>
    <row r="518" ht="15.75" customHeight="1">
      <c r="U518" s="8"/>
    </row>
    <row r="519" ht="15.75" customHeight="1">
      <c r="U519" s="8"/>
    </row>
    <row r="520" ht="15.75" customHeight="1">
      <c r="U520" s="8"/>
    </row>
    <row r="521" ht="15.75" customHeight="1">
      <c r="U521" s="8"/>
    </row>
    <row r="522" ht="15.75" customHeight="1">
      <c r="U522" s="8"/>
    </row>
    <row r="523" ht="15.75" customHeight="1">
      <c r="U523" s="8"/>
    </row>
    <row r="524" ht="15.75" customHeight="1">
      <c r="U524" s="8"/>
    </row>
    <row r="525" ht="15.75" customHeight="1">
      <c r="U525" s="8"/>
    </row>
    <row r="526" ht="15.75" customHeight="1">
      <c r="U526" s="8"/>
    </row>
    <row r="527" ht="15.75" customHeight="1">
      <c r="U527" s="8"/>
    </row>
    <row r="528" ht="15.75" customHeight="1">
      <c r="U528" s="8"/>
    </row>
    <row r="529" ht="15.75" customHeight="1">
      <c r="U529" s="8"/>
    </row>
    <row r="530" ht="15.75" customHeight="1">
      <c r="U530" s="8"/>
    </row>
    <row r="531" ht="15.75" customHeight="1">
      <c r="U531" s="8"/>
    </row>
    <row r="532" ht="15.75" customHeight="1">
      <c r="U532" s="8"/>
    </row>
    <row r="533" ht="15.75" customHeight="1">
      <c r="U533" s="8"/>
    </row>
    <row r="534" ht="15.75" customHeight="1">
      <c r="U534" s="8"/>
    </row>
    <row r="535" ht="15.75" customHeight="1">
      <c r="U535" s="8"/>
    </row>
    <row r="536" ht="15.75" customHeight="1">
      <c r="U536" s="8"/>
    </row>
    <row r="537" ht="15.75" customHeight="1">
      <c r="U537" s="8"/>
    </row>
    <row r="538" ht="15.75" customHeight="1">
      <c r="U538" s="8"/>
    </row>
    <row r="539" ht="15.75" customHeight="1">
      <c r="U539" s="8"/>
    </row>
    <row r="540" ht="15.75" customHeight="1">
      <c r="U540" s="8"/>
    </row>
    <row r="541" ht="15.75" customHeight="1">
      <c r="U541" s="8"/>
    </row>
    <row r="542" ht="15.75" customHeight="1">
      <c r="U542" s="8"/>
    </row>
    <row r="543" ht="15.75" customHeight="1">
      <c r="U543" s="8"/>
    </row>
    <row r="544" ht="15.75" customHeight="1">
      <c r="U544" s="8"/>
    </row>
    <row r="545" ht="15.75" customHeight="1">
      <c r="U545" s="8"/>
    </row>
    <row r="546" ht="15.75" customHeight="1">
      <c r="U546" s="8"/>
    </row>
    <row r="547" ht="15.75" customHeight="1">
      <c r="U547" s="8"/>
    </row>
    <row r="548" ht="15.75" customHeight="1">
      <c r="U548" s="8"/>
    </row>
    <row r="549" ht="15.75" customHeight="1">
      <c r="U549" s="8"/>
    </row>
    <row r="550" ht="15.75" customHeight="1">
      <c r="U550" s="8"/>
    </row>
    <row r="551" ht="15.75" customHeight="1">
      <c r="U551" s="8"/>
    </row>
    <row r="552" ht="15.75" customHeight="1">
      <c r="U552" s="8"/>
    </row>
    <row r="553" ht="15.75" customHeight="1">
      <c r="U553" s="8"/>
    </row>
    <row r="554" ht="15.75" customHeight="1">
      <c r="U554" s="8"/>
    </row>
    <row r="555" ht="15.75" customHeight="1">
      <c r="U555" s="8"/>
    </row>
    <row r="556" ht="15.75" customHeight="1">
      <c r="U556" s="8"/>
    </row>
    <row r="557" ht="15.75" customHeight="1">
      <c r="U557" s="8"/>
    </row>
    <row r="558" ht="15.75" customHeight="1">
      <c r="U558" s="8"/>
    </row>
    <row r="559" ht="15.75" customHeight="1">
      <c r="U559" s="8"/>
    </row>
    <row r="560" ht="15.75" customHeight="1">
      <c r="U560" s="8"/>
    </row>
    <row r="561" ht="15.75" customHeight="1">
      <c r="U561" s="8"/>
    </row>
    <row r="562" ht="15.75" customHeight="1">
      <c r="U562" s="8"/>
    </row>
    <row r="563" ht="15.75" customHeight="1">
      <c r="U563" s="8"/>
    </row>
    <row r="564" ht="15.75" customHeight="1">
      <c r="U564" s="8"/>
    </row>
    <row r="565" ht="15.75" customHeight="1">
      <c r="U565" s="8"/>
    </row>
    <row r="566" ht="15.75" customHeight="1">
      <c r="U566" s="8"/>
    </row>
    <row r="567" ht="15.75" customHeight="1">
      <c r="U567" s="8"/>
    </row>
    <row r="568" ht="15.75" customHeight="1">
      <c r="U568" s="8"/>
    </row>
    <row r="569" ht="15.75" customHeight="1">
      <c r="U569" s="8"/>
    </row>
    <row r="570" ht="15.75" customHeight="1">
      <c r="U570" s="8"/>
    </row>
    <row r="571" ht="15.75" customHeight="1">
      <c r="U571" s="8"/>
    </row>
    <row r="572" ht="15.75" customHeight="1">
      <c r="U572" s="8"/>
    </row>
    <row r="573" ht="15.75" customHeight="1">
      <c r="U573" s="8"/>
    </row>
    <row r="574" ht="15.75" customHeight="1">
      <c r="U574" s="8"/>
    </row>
    <row r="575" ht="15.75" customHeight="1">
      <c r="U575" s="8"/>
    </row>
    <row r="576" ht="15.75" customHeight="1">
      <c r="U576" s="8"/>
    </row>
    <row r="577" ht="15.75" customHeight="1">
      <c r="U577" s="8"/>
    </row>
    <row r="578" ht="15.75" customHeight="1">
      <c r="U578" s="8"/>
    </row>
    <row r="579" ht="15.75" customHeight="1">
      <c r="U579" s="8"/>
    </row>
    <row r="580" ht="15.75" customHeight="1">
      <c r="U580" s="8"/>
    </row>
    <row r="581" ht="15.75" customHeight="1">
      <c r="U581" s="8"/>
    </row>
    <row r="582" ht="15.75" customHeight="1">
      <c r="U582" s="8"/>
    </row>
    <row r="583" ht="15.75" customHeight="1">
      <c r="U583" s="8"/>
    </row>
    <row r="584" ht="15.75" customHeight="1">
      <c r="U584" s="8"/>
    </row>
    <row r="585" ht="15.75" customHeight="1">
      <c r="U585" s="8"/>
    </row>
    <row r="586" ht="15.75" customHeight="1">
      <c r="U586" s="8"/>
    </row>
    <row r="587" ht="15.75" customHeight="1">
      <c r="U587" s="8"/>
    </row>
    <row r="588" ht="15.75" customHeight="1">
      <c r="U588" s="8"/>
    </row>
    <row r="589" ht="15.75" customHeight="1">
      <c r="U589" s="8"/>
    </row>
    <row r="590" ht="15.75" customHeight="1">
      <c r="U590" s="8"/>
    </row>
    <row r="591" ht="15.75" customHeight="1">
      <c r="U591" s="8"/>
    </row>
    <row r="592" ht="15.75" customHeight="1">
      <c r="U592" s="8"/>
    </row>
    <row r="593" ht="15.75" customHeight="1">
      <c r="U593" s="8"/>
    </row>
    <row r="594" ht="15.75" customHeight="1">
      <c r="U594" s="8"/>
    </row>
    <row r="595" ht="15.75" customHeight="1">
      <c r="U595" s="8"/>
    </row>
    <row r="596" ht="15.75" customHeight="1">
      <c r="U596" s="8"/>
    </row>
    <row r="597" ht="15.75" customHeight="1">
      <c r="U597" s="8"/>
    </row>
    <row r="598" ht="15.75" customHeight="1">
      <c r="U598" s="8"/>
    </row>
    <row r="599" ht="15.75" customHeight="1">
      <c r="U599" s="8"/>
    </row>
    <row r="600" ht="15.75" customHeight="1">
      <c r="U600" s="8"/>
    </row>
    <row r="601" ht="15.75" customHeight="1">
      <c r="U601" s="8"/>
    </row>
    <row r="602" ht="15.75" customHeight="1">
      <c r="U602" s="8"/>
    </row>
    <row r="603" ht="15.75" customHeight="1">
      <c r="U603" s="8"/>
    </row>
    <row r="604" ht="15.75" customHeight="1">
      <c r="U604" s="8"/>
    </row>
    <row r="605" ht="15.75" customHeight="1">
      <c r="U605" s="8"/>
    </row>
    <row r="606" ht="15.75" customHeight="1">
      <c r="U606" s="8"/>
    </row>
    <row r="607" ht="15.75" customHeight="1">
      <c r="U607" s="8"/>
    </row>
    <row r="608" ht="15.75" customHeight="1">
      <c r="U608" s="8"/>
    </row>
    <row r="609" ht="15.75" customHeight="1">
      <c r="U609" s="8"/>
    </row>
    <row r="610" ht="15.75" customHeight="1">
      <c r="U610" s="8"/>
    </row>
    <row r="611" ht="15.75" customHeight="1">
      <c r="U611" s="8"/>
    </row>
    <row r="612" ht="15.75" customHeight="1">
      <c r="U612" s="8"/>
    </row>
    <row r="613" ht="15.75" customHeight="1">
      <c r="U613" s="8"/>
    </row>
    <row r="614" ht="15.75" customHeight="1">
      <c r="U614" s="8"/>
    </row>
    <row r="615" ht="15.75" customHeight="1">
      <c r="U615" s="8"/>
    </row>
    <row r="616" ht="15.75" customHeight="1">
      <c r="U616" s="8"/>
    </row>
    <row r="617" ht="15.75" customHeight="1">
      <c r="U617" s="8"/>
    </row>
    <row r="618" ht="15.75" customHeight="1">
      <c r="U618" s="8"/>
    </row>
    <row r="619" ht="15.75" customHeight="1">
      <c r="U619" s="8"/>
    </row>
    <row r="620" ht="15.75" customHeight="1">
      <c r="U620" s="8"/>
    </row>
    <row r="621" ht="15.75" customHeight="1">
      <c r="U621" s="8"/>
    </row>
    <row r="622" ht="15.75" customHeight="1">
      <c r="U622" s="8"/>
    </row>
    <row r="623" ht="15.75" customHeight="1">
      <c r="U623" s="8"/>
    </row>
    <row r="624" ht="15.75" customHeight="1">
      <c r="U624" s="8"/>
    </row>
    <row r="625" ht="15.75" customHeight="1">
      <c r="U625" s="8"/>
    </row>
    <row r="626" ht="15.75" customHeight="1">
      <c r="U626" s="8"/>
    </row>
    <row r="627" ht="15.75" customHeight="1">
      <c r="U627" s="8"/>
    </row>
    <row r="628" ht="15.75" customHeight="1">
      <c r="U628" s="8"/>
    </row>
    <row r="629" ht="15.75" customHeight="1">
      <c r="U629" s="8"/>
    </row>
    <row r="630" ht="15.75" customHeight="1">
      <c r="U630" s="8"/>
    </row>
    <row r="631" ht="15.75" customHeight="1">
      <c r="U631" s="8"/>
    </row>
    <row r="632" ht="15.75" customHeight="1">
      <c r="U632" s="8"/>
    </row>
    <row r="633" ht="15.75" customHeight="1">
      <c r="U633" s="8"/>
    </row>
    <row r="634" ht="15.75" customHeight="1">
      <c r="U634" s="8"/>
    </row>
    <row r="635" ht="15.75" customHeight="1">
      <c r="U635" s="8"/>
    </row>
    <row r="636" ht="15.75" customHeight="1">
      <c r="U636" s="8"/>
    </row>
    <row r="637" ht="15.75" customHeight="1">
      <c r="U637" s="8"/>
    </row>
    <row r="638" ht="15.75" customHeight="1">
      <c r="U638" s="8"/>
    </row>
    <row r="639" ht="15.75" customHeight="1">
      <c r="U639" s="8"/>
    </row>
    <row r="640" ht="15.75" customHeight="1">
      <c r="U640" s="8"/>
    </row>
    <row r="641" ht="15.75" customHeight="1">
      <c r="U641" s="8"/>
    </row>
    <row r="642" ht="15.75" customHeight="1">
      <c r="U642" s="8"/>
    </row>
    <row r="643" ht="15.75" customHeight="1">
      <c r="U643" s="8"/>
    </row>
    <row r="644" ht="15.75" customHeight="1">
      <c r="U644" s="8"/>
    </row>
    <row r="645" ht="15.75" customHeight="1">
      <c r="U645" s="8"/>
    </row>
    <row r="646" ht="15.75" customHeight="1">
      <c r="U646" s="8"/>
    </row>
    <row r="647" ht="15.75" customHeight="1">
      <c r="U647" s="8"/>
    </row>
    <row r="648" ht="15.75" customHeight="1">
      <c r="U648" s="8"/>
    </row>
    <row r="649" ht="15.75" customHeight="1">
      <c r="U649" s="8"/>
    </row>
    <row r="650" ht="15.75" customHeight="1">
      <c r="U650" s="8"/>
    </row>
    <row r="651" ht="15.75" customHeight="1">
      <c r="U651" s="8"/>
    </row>
    <row r="652" ht="15.75" customHeight="1">
      <c r="U652" s="8"/>
    </row>
    <row r="653" ht="15.75" customHeight="1">
      <c r="U653" s="8"/>
    </row>
    <row r="654" ht="15.75" customHeight="1">
      <c r="U654" s="8"/>
    </row>
    <row r="655" ht="15.75" customHeight="1">
      <c r="U655" s="8"/>
    </row>
    <row r="656" ht="15.75" customHeight="1">
      <c r="U656" s="8"/>
    </row>
    <row r="657" ht="15.75" customHeight="1">
      <c r="U657" s="8"/>
    </row>
    <row r="658" ht="15.75" customHeight="1">
      <c r="U658" s="8"/>
    </row>
    <row r="659" ht="15.75" customHeight="1">
      <c r="U659" s="8"/>
    </row>
    <row r="660" ht="15.75" customHeight="1">
      <c r="U660" s="8"/>
    </row>
    <row r="661" ht="15.75" customHeight="1">
      <c r="U661" s="8"/>
    </row>
    <row r="662" ht="15.75" customHeight="1">
      <c r="U662" s="8"/>
    </row>
    <row r="663" ht="15.75" customHeight="1">
      <c r="U663" s="8"/>
    </row>
    <row r="664" ht="15.75" customHeight="1">
      <c r="U664" s="8"/>
    </row>
    <row r="665" ht="15.75" customHeight="1">
      <c r="U665" s="8"/>
    </row>
    <row r="666" ht="15.75" customHeight="1">
      <c r="U666" s="8"/>
    </row>
    <row r="667" ht="15.75" customHeight="1">
      <c r="U667" s="8"/>
    </row>
    <row r="668" ht="15.75" customHeight="1">
      <c r="U668" s="8"/>
    </row>
    <row r="669" ht="15.75" customHeight="1">
      <c r="U669" s="8"/>
    </row>
    <row r="670" ht="15.75" customHeight="1">
      <c r="U670" s="8"/>
    </row>
    <row r="671" ht="15.75" customHeight="1">
      <c r="U671" s="8"/>
    </row>
    <row r="672" ht="15.75" customHeight="1">
      <c r="U672" s="8"/>
    </row>
    <row r="673" ht="15.75" customHeight="1">
      <c r="U673" s="8"/>
    </row>
    <row r="674" ht="15.75" customHeight="1">
      <c r="U674" s="8"/>
    </row>
    <row r="675" ht="15.75" customHeight="1">
      <c r="U675" s="8"/>
    </row>
    <row r="676" ht="15.75" customHeight="1">
      <c r="U676" s="8"/>
    </row>
    <row r="677" ht="15.75" customHeight="1">
      <c r="U677" s="8"/>
    </row>
    <row r="678" ht="15.75" customHeight="1">
      <c r="U678" s="8"/>
    </row>
    <row r="679" ht="15.75" customHeight="1">
      <c r="U679" s="8"/>
    </row>
    <row r="680" ht="15.75" customHeight="1">
      <c r="U680" s="8"/>
    </row>
    <row r="681" ht="15.75" customHeight="1">
      <c r="U681" s="8"/>
    </row>
    <row r="682" ht="15.75" customHeight="1">
      <c r="U682" s="8"/>
    </row>
    <row r="683" ht="15.75" customHeight="1">
      <c r="U683" s="8"/>
    </row>
    <row r="684" ht="15.75" customHeight="1">
      <c r="U684" s="8"/>
    </row>
    <row r="685" ht="15.75" customHeight="1">
      <c r="U685" s="8"/>
    </row>
    <row r="686" ht="15.75" customHeight="1">
      <c r="U686" s="8"/>
    </row>
    <row r="687" ht="15.75" customHeight="1">
      <c r="U687" s="8"/>
    </row>
    <row r="688" ht="15.75" customHeight="1">
      <c r="U688" s="8"/>
    </row>
    <row r="689" ht="15.75" customHeight="1">
      <c r="U689" s="8"/>
    </row>
    <row r="690" ht="15.75" customHeight="1">
      <c r="U690" s="8"/>
    </row>
    <row r="691" ht="15.75" customHeight="1">
      <c r="U691" s="8"/>
    </row>
    <row r="692" ht="15.75" customHeight="1">
      <c r="U692" s="8"/>
    </row>
    <row r="693" ht="15.75" customHeight="1">
      <c r="U693" s="8"/>
    </row>
    <row r="694" ht="15.75" customHeight="1">
      <c r="U694" s="8"/>
    </row>
    <row r="695" ht="15.75" customHeight="1">
      <c r="U695" s="8"/>
    </row>
    <row r="696" ht="15.75" customHeight="1">
      <c r="U696" s="8"/>
    </row>
    <row r="697" ht="15.75" customHeight="1">
      <c r="U697" s="8"/>
    </row>
    <row r="698" ht="15.75" customHeight="1">
      <c r="U698" s="8"/>
    </row>
    <row r="699" ht="15.75" customHeight="1">
      <c r="U699" s="8"/>
    </row>
    <row r="700" ht="15.75" customHeight="1">
      <c r="U700" s="8"/>
    </row>
    <row r="701" ht="15.75" customHeight="1">
      <c r="U701" s="8"/>
    </row>
    <row r="702" ht="15.75" customHeight="1">
      <c r="U702" s="8"/>
    </row>
    <row r="703" ht="15.75" customHeight="1">
      <c r="U703" s="8"/>
    </row>
    <row r="704" ht="15.75" customHeight="1">
      <c r="U704" s="8"/>
    </row>
    <row r="705" ht="15.75" customHeight="1">
      <c r="U705" s="8"/>
    </row>
    <row r="706" ht="15.75" customHeight="1">
      <c r="U706" s="8"/>
    </row>
    <row r="707" ht="15.75" customHeight="1">
      <c r="U707" s="8"/>
    </row>
    <row r="708" ht="15.75" customHeight="1">
      <c r="U708" s="8"/>
    </row>
    <row r="709" ht="15.75" customHeight="1">
      <c r="U709" s="8"/>
    </row>
    <row r="710" ht="15.75" customHeight="1">
      <c r="U710" s="8"/>
    </row>
    <row r="711" ht="15.75" customHeight="1">
      <c r="U711" s="8"/>
    </row>
    <row r="712" ht="15.75" customHeight="1">
      <c r="U712" s="8"/>
    </row>
    <row r="713" ht="15.75" customHeight="1">
      <c r="U713" s="8"/>
    </row>
    <row r="714" ht="15.75" customHeight="1">
      <c r="U714" s="8"/>
    </row>
    <row r="715" ht="15.75" customHeight="1">
      <c r="U715" s="8"/>
    </row>
    <row r="716" ht="15.75" customHeight="1">
      <c r="U716" s="8"/>
    </row>
    <row r="717" ht="15.75" customHeight="1">
      <c r="U717" s="8"/>
    </row>
    <row r="718" ht="15.75" customHeight="1">
      <c r="U718" s="8"/>
    </row>
    <row r="719" ht="15.75" customHeight="1">
      <c r="U719" s="8"/>
    </row>
    <row r="720" ht="15.75" customHeight="1">
      <c r="U720" s="8"/>
    </row>
    <row r="721" ht="15.75" customHeight="1">
      <c r="U721" s="8"/>
    </row>
    <row r="722" ht="15.75" customHeight="1">
      <c r="U722" s="8"/>
    </row>
    <row r="723" ht="15.75" customHeight="1">
      <c r="U723" s="8"/>
    </row>
    <row r="724" ht="15.75" customHeight="1">
      <c r="U724" s="8"/>
    </row>
    <row r="725" ht="15.75" customHeight="1">
      <c r="U725" s="8"/>
    </row>
    <row r="726" ht="15.75" customHeight="1">
      <c r="U726" s="8"/>
    </row>
    <row r="727" ht="15.75" customHeight="1">
      <c r="U727" s="8"/>
    </row>
    <row r="728" ht="15.75" customHeight="1">
      <c r="U728" s="8"/>
    </row>
    <row r="729" ht="15.75" customHeight="1">
      <c r="U729" s="8"/>
    </row>
    <row r="730" ht="15.75" customHeight="1">
      <c r="U730" s="8"/>
    </row>
    <row r="731" ht="15.75" customHeight="1">
      <c r="U731" s="8"/>
    </row>
    <row r="732" ht="15.75" customHeight="1">
      <c r="U732" s="8"/>
    </row>
    <row r="733" ht="15.75" customHeight="1">
      <c r="U733" s="8"/>
    </row>
    <row r="734" ht="15.75" customHeight="1">
      <c r="U734" s="8"/>
    </row>
    <row r="735" ht="15.75" customHeight="1">
      <c r="U735" s="8"/>
    </row>
    <row r="736" ht="15.75" customHeight="1">
      <c r="U736" s="8"/>
    </row>
    <row r="737" ht="15.75" customHeight="1">
      <c r="U737" s="8"/>
    </row>
    <row r="738" ht="15.75" customHeight="1">
      <c r="U738" s="8"/>
    </row>
    <row r="739" ht="15.75" customHeight="1">
      <c r="U739" s="8"/>
    </row>
    <row r="740" ht="15.75" customHeight="1">
      <c r="U740" s="8"/>
    </row>
    <row r="741" ht="15.75" customHeight="1">
      <c r="U741" s="8"/>
    </row>
    <row r="742" ht="15.75" customHeight="1">
      <c r="U742" s="8"/>
    </row>
    <row r="743" ht="15.75" customHeight="1">
      <c r="U743" s="8"/>
    </row>
    <row r="744" ht="15.75" customHeight="1">
      <c r="U744" s="8"/>
    </row>
    <row r="745" ht="15.75" customHeight="1">
      <c r="U745" s="8"/>
    </row>
    <row r="746" ht="15.75" customHeight="1">
      <c r="U746" s="8"/>
    </row>
    <row r="747" ht="15.75" customHeight="1">
      <c r="U747" s="8"/>
    </row>
    <row r="748" ht="15.75" customHeight="1">
      <c r="U748" s="8"/>
    </row>
    <row r="749" ht="15.75" customHeight="1">
      <c r="U749" s="8"/>
    </row>
    <row r="750" ht="15.75" customHeight="1">
      <c r="U750" s="8"/>
    </row>
    <row r="751" ht="15.75" customHeight="1">
      <c r="U751" s="8"/>
    </row>
    <row r="752" ht="15.75" customHeight="1">
      <c r="U752" s="8"/>
    </row>
    <row r="753" ht="15.75" customHeight="1">
      <c r="U753" s="8"/>
    </row>
    <row r="754" ht="15.75" customHeight="1">
      <c r="U754" s="8"/>
    </row>
    <row r="755" ht="15.75" customHeight="1">
      <c r="U755" s="8"/>
    </row>
    <row r="756" ht="15.75" customHeight="1">
      <c r="U756" s="8"/>
    </row>
    <row r="757" ht="15.75" customHeight="1">
      <c r="U757" s="8"/>
    </row>
    <row r="758" ht="15.75" customHeight="1">
      <c r="U758" s="8"/>
    </row>
    <row r="759" ht="15.75" customHeight="1">
      <c r="U759" s="8"/>
    </row>
    <row r="760" ht="15.75" customHeight="1">
      <c r="U760" s="8"/>
    </row>
    <row r="761" ht="15.75" customHeight="1">
      <c r="U761" s="8"/>
    </row>
    <row r="762" ht="15.75" customHeight="1">
      <c r="U762" s="8"/>
    </row>
    <row r="763" ht="15.75" customHeight="1">
      <c r="U763" s="8"/>
    </row>
    <row r="764" ht="15.75" customHeight="1">
      <c r="U764" s="8"/>
    </row>
    <row r="765" ht="15.75" customHeight="1">
      <c r="U765" s="8"/>
    </row>
    <row r="766" ht="15.75" customHeight="1">
      <c r="U766" s="8"/>
    </row>
    <row r="767" ht="15.75" customHeight="1">
      <c r="U767" s="8"/>
    </row>
    <row r="768" ht="15.75" customHeight="1">
      <c r="U768" s="8"/>
    </row>
    <row r="769" ht="15.75" customHeight="1">
      <c r="U769" s="8"/>
    </row>
    <row r="770" ht="15.75" customHeight="1">
      <c r="U770" s="8"/>
    </row>
    <row r="771" ht="15.75" customHeight="1">
      <c r="U771" s="8"/>
    </row>
    <row r="772" ht="15.75" customHeight="1">
      <c r="U772" s="8"/>
    </row>
    <row r="773" ht="15.75" customHeight="1">
      <c r="U773" s="8"/>
    </row>
    <row r="774" ht="15.75" customHeight="1">
      <c r="U774" s="8"/>
    </row>
    <row r="775" ht="15.75" customHeight="1">
      <c r="U775" s="8"/>
    </row>
    <row r="776" ht="15.75" customHeight="1">
      <c r="U776" s="8"/>
    </row>
    <row r="777" ht="15.75" customHeight="1">
      <c r="U777" s="8"/>
    </row>
    <row r="778" ht="15.75" customHeight="1">
      <c r="U778" s="8"/>
    </row>
    <row r="779" ht="15.75" customHeight="1">
      <c r="U779" s="8"/>
    </row>
    <row r="780" ht="15.75" customHeight="1">
      <c r="U780" s="8"/>
    </row>
    <row r="781" ht="15.75" customHeight="1">
      <c r="U781" s="8"/>
    </row>
    <row r="782" ht="15.75" customHeight="1">
      <c r="U782" s="8"/>
    </row>
    <row r="783" ht="15.75" customHeight="1">
      <c r="U783" s="8"/>
    </row>
    <row r="784" ht="15.75" customHeight="1">
      <c r="U784" s="8"/>
    </row>
    <row r="785" ht="15.75" customHeight="1">
      <c r="U785" s="8"/>
    </row>
    <row r="786" ht="15.75" customHeight="1">
      <c r="U786" s="8"/>
    </row>
    <row r="787" ht="15.75" customHeight="1">
      <c r="U787" s="8"/>
    </row>
    <row r="788" ht="15.75" customHeight="1">
      <c r="U788" s="8"/>
    </row>
    <row r="789" ht="15.75" customHeight="1">
      <c r="U789" s="8"/>
    </row>
    <row r="790" ht="15.75" customHeight="1">
      <c r="U790" s="8"/>
    </row>
    <row r="791" ht="15.75" customHeight="1">
      <c r="U791" s="8"/>
    </row>
    <row r="792" ht="15.75" customHeight="1">
      <c r="U792" s="8"/>
    </row>
    <row r="793" ht="15.75" customHeight="1">
      <c r="U793" s="8"/>
    </row>
    <row r="794" ht="15.75" customHeight="1">
      <c r="U794" s="8"/>
    </row>
    <row r="795" ht="15.75" customHeight="1">
      <c r="U795" s="8"/>
    </row>
    <row r="796" ht="15.75" customHeight="1">
      <c r="U796" s="8"/>
    </row>
    <row r="797" ht="15.75" customHeight="1">
      <c r="U797" s="8"/>
    </row>
    <row r="798" ht="15.75" customHeight="1">
      <c r="U798" s="8"/>
    </row>
    <row r="799" ht="15.75" customHeight="1">
      <c r="U799" s="8"/>
    </row>
    <row r="800" ht="15.75" customHeight="1">
      <c r="U800" s="8"/>
    </row>
    <row r="801" ht="15.75" customHeight="1">
      <c r="U801" s="8"/>
    </row>
    <row r="802" ht="15.75" customHeight="1">
      <c r="U802" s="8"/>
    </row>
    <row r="803" ht="15.75" customHeight="1">
      <c r="U803" s="8"/>
    </row>
    <row r="804" ht="15.75" customHeight="1">
      <c r="U804" s="8"/>
    </row>
    <row r="805" ht="15.75" customHeight="1">
      <c r="U805" s="8"/>
    </row>
    <row r="806" ht="15.75" customHeight="1">
      <c r="U806" s="8"/>
    </row>
    <row r="807" ht="15.75" customHeight="1">
      <c r="U807" s="8"/>
    </row>
    <row r="808" ht="15.75" customHeight="1">
      <c r="U808" s="8"/>
    </row>
    <row r="809" ht="15.75" customHeight="1">
      <c r="U809" s="8"/>
    </row>
    <row r="810" ht="15.75" customHeight="1">
      <c r="U810" s="8"/>
    </row>
    <row r="811" ht="15.75" customHeight="1">
      <c r="U811" s="8"/>
    </row>
    <row r="812" ht="15.75" customHeight="1">
      <c r="U812" s="8"/>
    </row>
    <row r="813" ht="15.75" customHeight="1">
      <c r="U813" s="8"/>
    </row>
    <row r="814" ht="15.75" customHeight="1">
      <c r="U814" s="8"/>
    </row>
    <row r="815" ht="15.75" customHeight="1">
      <c r="U815" s="8"/>
    </row>
    <row r="816" ht="15.75" customHeight="1">
      <c r="U816" s="8"/>
    </row>
    <row r="817" ht="15.75" customHeight="1">
      <c r="U817" s="8"/>
    </row>
    <row r="818" ht="15.75" customHeight="1">
      <c r="U818" s="8"/>
    </row>
    <row r="819" ht="15.75" customHeight="1">
      <c r="U819" s="8"/>
    </row>
    <row r="820" ht="15.75" customHeight="1">
      <c r="U820" s="8"/>
    </row>
    <row r="821" ht="15.75" customHeight="1">
      <c r="U821" s="8"/>
    </row>
    <row r="822" ht="15.75" customHeight="1">
      <c r="U822" s="8"/>
    </row>
    <row r="823" ht="15.75" customHeight="1">
      <c r="U823" s="8"/>
    </row>
    <row r="824" ht="15.75" customHeight="1">
      <c r="U824" s="8"/>
    </row>
    <row r="825" ht="15.75" customHeight="1">
      <c r="U825" s="8"/>
    </row>
    <row r="826" ht="15.75" customHeight="1">
      <c r="U826" s="8"/>
    </row>
    <row r="827" ht="15.75" customHeight="1">
      <c r="U827" s="8"/>
    </row>
    <row r="828" ht="15.75" customHeight="1">
      <c r="U828" s="8"/>
    </row>
    <row r="829" ht="15.75" customHeight="1">
      <c r="U829" s="8"/>
    </row>
    <row r="830" ht="15.75" customHeight="1">
      <c r="U830" s="8"/>
    </row>
    <row r="831" ht="15.75" customHeight="1">
      <c r="U831" s="8"/>
    </row>
    <row r="832" ht="15.75" customHeight="1">
      <c r="U832" s="8"/>
    </row>
    <row r="833" ht="15.75" customHeight="1">
      <c r="U833" s="8"/>
    </row>
    <row r="834" ht="15.75" customHeight="1">
      <c r="U834" s="8"/>
    </row>
    <row r="835" ht="15.75" customHeight="1">
      <c r="U835" s="8"/>
    </row>
    <row r="836" ht="15.75" customHeight="1">
      <c r="U836" s="8"/>
    </row>
    <row r="837" ht="15.75" customHeight="1">
      <c r="U837" s="8"/>
    </row>
    <row r="838" ht="15.75" customHeight="1">
      <c r="U838" s="8"/>
    </row>
    <row r="839" ht="15.75" customHeight="1">
      <c r="U839" s="8"/>
    </row>
    <row r="840" ht="15.75" customHeight="1">
      <c r="U840" s="8"/>
    </row>
    <row r="841" ht="15.75" customHeight="1">
      <c r="U841" s="8"/>
    </row>
    <row r="842" ht="15.75" customHeight="1">
      <c r="U842" s="8"/>
    </row>
    <row r="843" ht="15.75" customHeight="1">
      <c r="U843" s="8"/>
    </row>
    <row r="844" ht="15.75" customHeight="1">
      <c r="U844" s="8"/>
    </row>
    <row r="845" ht="15.75" customHeight="1">
      <c r="U845" s="8"/>
    </row>
    <row r="846" ht="15.75" customHeight="1">
      <c r="U846" s="8"/>
    </row>
    <row r="847" ht="15.75" customHeight="1">
      <c r="U847" s="8"/>
    </row>
    <row r="848" ht="15.75" customHeight="1">
      <c r="U848" s="8"/>
    </row>
    <row r="849" ht="15.75" customHeight="1">
      <c r="U849" s="8"/>
    </row>
    <row r="850" ht="15.75" customHeight="1">
      <c r="U850" s="8"/>
    </row>
    <row r="851" ht="15.75" customHeight="1">
      <c r="U851" s="8"/>
    </row>
    <row r="852" ht="15.75" customHeight="1">
      <c r="U852" s="8"/>
    </row>
    <row r="853" ht="15.75" customHeight="1">
      <c r="U853" s="8"/>
    </row>
    <row r="854" ht="15.75" customHeight="1">
      <c r="U854" s="8"/>
    </row>
    <row r="855" ht="15.75" customHeight="1">
      <c r="U855" s="8"/>
    </row>
    <row r="856" ht="15.75" customHeight="1">
      <c r="U856" s="8"/>
    </row>
    <row r="857" ht="15.75" customHeight="1">
      <c r="U857" s="8"/>
    </row>
    <row r="858" ht="15.75" customHeight="1">
      <c r="U858" s="8"/>
    </row>
    <row r="859" ht="15.75" customHeight="1">
      <c r="U859" s="8"/>
    </row>
    <row r="860" ht="15.75" customHeight="1">
      <c r="U860" s="8"/>
    </row>
    <row r="861" ht="15.75" customHeight="1">
      <c r="U861" s="8"/>
    </row>
    <row r="862" ht="15.75" customHeight="1">
      <c r="U862" s="8"/>
    </row>
    <row r="863" ht="15.75" customHeight="1">
      <c r="U863" s="8"/>
    </row>
    <row r="864" ht="15.75" customHeight="1">
      <c r="U864" s="8"/>
    </row>
    <row r="865" ht="15.75" customHeight="1">
      <c r="U865" s="8"/>
    </row>
    <row r="866" ht="15.75" customHeight="1">
      <c r="U866" s="8"/>
    </row>
    <row r="867" ht="15.75" customHeight="1">
      <c r="U867" s="8"/>
    </row>
    <row r="868" ht="15.75" customHeight="1">
      <c r="U868" s="8"/>
    </row>
    <row r="869" ht="15.75" customHeight="1">
      <c r="U869" s="8"/>
    </row>
    <row r="870" ht="15.75" customHeight="1">
      <c r="U870" s="8"/>
    </row>
    <row r="871" ht="15.75" customHeight="1">
      <c r="U871" s="8"/>
    </row>
    <row r="872" ht="15.75" customHeight="1">
      <c r="U872" s="8"/>
    </row>
    <row r="873" ht="15.75" customHeight="1">
      <c r="U873" s="8"/>
    </row>
    <row r="874" ht="15.75" customHeight="1">
      <c r="U874" s="8"/>
    </row>
    <row r="875" ht="15.75" customHeight="1">
      <c r="U875" s="8"/>
    </row>
    <row r="876" ht="15.75" customHeight="1">
      <c r="U876" s="8"/>
    </row>
    <row r="877" ht="15.75" customHeight="1">
      <c r="U877" s="8"/>
    </row>
    <row r="878" ht="15.75" customHeight="1">
      <c r="U878" s="8"/>
    </row>
    <row r="879" ht="15.75" customHeight="1">
      <c r="U879" s="8"/>
    </row>
    <row r="880" ht="15.75" customHeight="1">
      <c r="U880" s="8"/>
    </row>
    <row r="881" ht="15.75" customHeight="1">
      <c r="U881" s="8"/>
    </row>
    <row r="882" ht="15.75" customHeight="1">
      <c r="U882" s="8"/>
    </row>
    <row r="883" ht="15.75" customHeight="1">
      <c r="U883" s="8"/>
    </row>
    <row r="884" ht="15.75" customHeight="1">
      <c r="U884" s="8"/>
    </row>
    <row r="885" ht="15.75" customHeight="1">
      <c r="U885" s="8"/>
    </row>
    <row r="886" ht="15.75" customHeight="1">
      <c r="U886" s="8"/>
    </row>
    <row r="887" ht="15.75" customHeight="1">
      <c r="U887" s="8"/>
    </row>
    <row r="888" ht="15.75" customHeight="1">
      <c r="U888" s="8"/>
    </row>
    <row r="889" ht="15.75" customHeight="1">
      <c r="U889" s="8"/>
    </row>
    <row r="890" ht="15.75" customHeight="1">
      <c r="U890" s="8"/>
    </row>
    <row r="891" ht="15.75" customHeight="1">
      <c r="U891" s="8"/>
    </row>
    <row r="892" ht="15.75" customHeight="1">
      <c r="U892" s="8"/>
    </row>
    <row r="893" ht="15.75" customHeight="1">
      <c r="U893" s="8"/>
    </row>
    <row r="894" ht="15.75" customHeight="1">
      <c r="U894" s="8"/>
    </row>
    <row r="895" ht="15.75" customHeight="1">
      <c r="U895" s="8"/>
    </row>
    <row r="896" ht="15.75" customHeight="1">
      <c r="U896" s="8"/>
    </row>
    <row r="897" ht="15.75" customHeight="1">
      <c r="U897" s="8"/>
    </row>
    <row r="898" ht="15.75" customHeight="1">
      <c r="U898" s="8"/>
    </row>
    <row r="899" ht="15.75" customHeight="1">
      <c r="U899" s="8"/>
    </row>
    <row r="900" ht="15.75" customHeight="1">
      <c r="U900" s="8"/>
    </row>
    <row r="901" ht="15.75" customHeight="1">
      <c r="U901" s="8"/>
    </row>
    <row r="902" ht="15.75" customHeight="1">
      <c r="U902" s="8"/>
    </row>
    <row r="903" ht="15.75" customHeight="1">
      <c r="U903" s="8"/>
    </row>
    <row r="904" ht="15.75" customHeight="1">
      <c r="U904" s="8"/>
    </row>
    <row r="905" ht="15.75" customHeight="1">
      <c r="U905" s="8"/>
    </row>
    <row r="906" ht="15.75" customHeight="1">
      <c r="U906" s="8"/>
    </row>
    <row r="907" ht="15.75" customHeight="1">
      <c r="U907" s="8"/>
    </row>
    <row r="908" ht="15.75" customHeight="1">
      <c r="U908" s="8"/>
    </row>
    <row r="909" ht="15.75" customHeight="1">
      <c r="U909" s="8"/>
    </row>
    <row r="910" ht="15.75" customHeight="1">
      <c r="U910" s="8"/>
    </row>
    <row r="911" ht="15.75" customHeight="1">
      <c r="U911" s="8"/>
    </row>
    <row r="912" ht="15.75" customHeight="1">
      <c r="U912" s="8"/>
    </row>
    <row r="913" ht="15.75" customHeight="1">
      <c r="U913" s="8"/>
    </row>
    <row r="914" ht="15.75" customHeight="1">
      <c r="U914" s="8"/>
    </row>
    <row r="915" ht="15.75" customHeight="1">
      <c r="U915" s="8"/>
    </row>
    <row r="916" ht="15.75" customHeight="1">
      <c r="U916" s="8"/>
    </row>
    <row r="917" ht="15.75" customHeight="1">
      <c r="U917" s="8"/>
    </row>
    <row r="918" ht="15.75" customHeight="1">
      <c r="U918" s="8"/>
    </row>
    <row r="919" ht="15.75" customHeight="1">
      <c r="U919" s="8"/>
    </row>
    <row r="920" ht="15.75" customHeight="1">
      <c r="U920" s="8"/>
    </row>
    <row r="921" ht="15.75" customHeight="1">
      <c r="U921" s="8"/>
    </row>
    <row r="922" ht="15.75" customHeight="1">
      <c r="U922" s="8"/>
    </row>
    <row r="923" ht="15.75" customHeight="1">
      <c r="U923" s="8"/>
    </row>
    <row r="924" ht="15.75" customHeight="1">
      <c r="U924" s="8"/>
    </row>
    <row r="925" ht="15.75" customHeight="1">
      <c r="U925" s="8"/>
    </row>
    <row r="926" ht="15.75" customHeight="1">
      <c r="U926" s="8"/>
    </row>
    <row r="927" ht="15.75" customHeight="1">
      <c r="U927" s="8"/>
    </row>
    <row r="928" ht="15.75" customHeight="1">
      <c r="U928" s="8"/>
    </row>
    <row r="929" ht="15.75" customHeight="1">
      <c r="U929" s="8"/>
    </row>
    <row r="930" ht="15.75" customHeight="1">
      <c r="U930" s="8"/>
    </row>
    <row r="931" ht="15.75" customHeight="1">
      <c r="U931" s="8"/>
    </row>
    <row r="932" ht="15.75" customHeight="1">
      <c r="U932" s="8"/>
    </row>
    <row r="933" ht="15.75" customHeight="1">
      <c r="U933" s="8"/>
    </row>
    <row r="934" ht="15.75" customHeight="1">
      <c r="U934" s="8"/>
    </row>
    <row r="935" ht="15.75" customHeight="1">
      <c r="U935" s="8"/>
    </row>
    <row r="936" ht="15.75" customHeight="1">
      <c r="U936" s="8"/>
    </row>
    <row r="937" ht="15.75" customHeight="1">
      <c r="U937" s="8"/>
    </row>
    <row r="938" ht="15.75" customHeight="1">
      <c r="U938" s="8"/>
    </row>
    <row r="939" ht="15.75" customHeight="1">
      <c r="U939" s="8"/>
    </row>
    <row r="940" ht="15.75" customHeight="1">
      <c r="U940" s="8"/>
    </row>
    <row r="941" ht="15.75" customHeight="1">
      <c r="U941" s="8"/>
    </row>
    <row r="942" ht="15.75" customHeight="1">
      <c r="U942" s="8"/>
    </row>
    <row r="943" ht="15.75" customHeight="1">
      <c r="U943" s="8"/>
    </row>
    <row r="944" ht="15.75" customHeight="1">
      <c r="U944" s="8"/>
    </row>
    <row r="945" ht="15.75" customHeight="1">
      <c r="U945" s="8"/>
    </row>
    <row r="946" ht="15.75" customHeight="1">
      <c r="U946" s="8"/>
    </row>
    <row r="947" ht="15.75" customHeight="1">
      <c r="U947" s="8"/>
    </row>
    <row r="948" ht="15.75" customHeight="1">
      <c r="U948" s="8"/>
    </row>
    <row r="949" ht="15.75" customHeight="1">
      <c r="U949" s="8"/>
    </row>
    <row r="950" ht="15.75" customHeight="1">
      <c r="U950" s="8"/>
    </row>
    <row r="951" ht="15.75" customHeight="1">
      <c r="U951" s="8"/>
    </row>
    <row r="952" ht="15.75" customHeight="1">
      <c r="U952" s="8"/>
    </row>
    <row r="953" ht="15.75" customHeight="1">
      <c r="U953" s="8"/>
    </row>
    <row r="954" ht="15.75" customHeight="1">
      <c r="U954" s="8"/>
    </row>
    <row r="955" ht="15.75" customHeight="1">
      <c r="U955" s="8"/>
    </row>
    <row r="956" ht="15.75" customHeight="1">
      <c r="U956" s="8"/>
    </row>
    <row r="957" ht="15.75" customHeight="1">
      <c r="U957" s="8"/>
    </row>
    <row r="958" ht="15.75" customHeight="1">
      <c r="U958" s="8"/>
    </row>
    <row r="959" ht="15.75" customHeight="1">
      <c r="U959" s="8"/>
    </row>
    <row r="960" ht="15.75" customHeight="1">
      <c r="U960" s="8"/>
    </row>
    <row r="961" ht="15.75" customHeight="1">
      <c r="U961" s="8"/>
    </row>
    <row r="962" ht="15.75" customHeight="1">
      <c r="U962" s="8"/>
    </row>
    <row r="963" ht="15.75" customHeight="1">
      <c r="U963" s="8"/>
    </row>
    <row r="964" ht="15.75" customHeight="1">
      <c r="U964" s="8"/>
    </row>
    <row r="965" ht="15.75" customHeight="1">
      <c r="U965" s="8"/>
    </row>
    <row r="966" ht="15.75" customHeight="1">
      <c r="U966" s="8"/>
    </row>
    <row r="967" ht="15.75" customHeight="1">
      <c r="U967" s="8"/>
    </row>
    <row r="968" ht="15.75" customHeight="1">
      <c r="U968" s="8"/>
    </row>
    <row r="969" ht="15.75" customHeight="1">
      <c r="U969" s="8"/>
    </row>
    <row r="970" ht="15.75" customHeight="1">
      <c r="U970" s="8"/>
    </row>
    <row r="971" ht="15.75" customHeight="1">
      <c r="U971" s="8"/>
    </row>
    <row r="972" ht="15.75" customHeight="1">
      <c r="U972" s="8"/>
    </row>
    <row r="973" ht="15.75" customHeight="1">
      <c r="U973" s="8"/>
    </row>
    <row r="974" ht="15.75" customHeight="1">
      <c r="U974" s="8"/>
    </row>
    <row r="975" ht="15.75" customHeight="1">
      <c r="U975" s="8"/>
    </row>
    <row r="976" ht="15.75" customHeight="1">
      <c r="U976" s="8"/>
    </row>
    <row r="977" ht="15.75" customHeight="1">
      <c r="U977" s="8"/>
    </row>
    <row r="978" ht="15.75" customHeight="1">
      <c r="U978" s="8"/>
    </row>
    <row r="979" ht="15.75" customHeight="1">
      <c r="U979" s="8"/>
    </row>
    <row r="980" ht="15.75" customHeight="1">
      <c r="U980" s="8"/>
    </row>
    <row r="981" ht="15.75" customHeight="1">
      <c r="U981" s="8"/>
    </row>
    <row r="982" ht="15.75" customHeight="1">
      <c r="U982" s="8"/>
    </row>
    <row r="983" ht="15.75" customHeight="1">
      <c r="U983" s="8"/>
    </row>
    <row r="984" ht="15.75" customHeight="1">
      <c r="U984" s="8"/>
    </row>
    <row r="985" ht="15.75" customHeight="1">
      <c r="U985" s="8"/>
    </row>
    <row r="986" ht="15.75" customHeight="1">
      <c r="U986" s="8"/>
    </row>
    <row r="987" ht="15.75" customHeight="1">
      <c r="U987" s="8"/>
    </row>
    <row r="988" ht="15.75" customHeight="1">
      <c r="U988" s="8"/>
    </row>
    <row r="989" ht="15.75" customHeight="1">
      <c r="U989" s="8"/>
    </row>
    <row r="990" ht="15.75" customHeight="1">
      <c r="U990" s="8"/>
    </row>
    <row r="991" ht="15.75" customHeight="1">
      <c r="U991" s="8"/>
    </row>
    <row r="992" ht="15.75" customHeight="1">
      <c r="U992" s="8"/>
    </row>
    <row r="993" ht="15.75" customHeight="1">
      <c r="U993" s="8"/>
    </row>
    <row r="994" ht="15.75" customHeight="1">
      <c r="U994" s="8"/>
    </row>
    <row r="995" ht="15.75" customHeight="1">
      <c r="U995" s="8"/>
    </row>
    <row r="996" ht="15.75" customHeight="1">
      <c r="U996" s="8"/>
    </row>
    <row r="997" ht="15.75" customHeight="1">
      <c r="U997" s="8"/>
    </row>
    <row r="998" ht="15.75" customHeight="1">
      <c r="U998" s="8"/>
    </row>
    <row r="999" ht="15.75" customHeight="1">
      <c r="U999" s="8"/>
    </row>
    <row r="1000" ht="15.75" customHeight="1">
      <c r="U1000" s="8"/>
    </row>
  </sheetData>
  <mergeCells count="15">
    <mergeCell ref="B10:G10"/>
    <mergeCell ref="C16:G16"/>
    <mergeCell ref="I19:U19"/>
    <mergeCell ref="I20:I21"/>
    <mergeCell ref="J20:J21"/>
    <mergeCell ref="K20:K21"/>
    <mergeCell ref="L20:P20"/>
    <mergeCell ref="Q20:U20"/>
    <mergeCell ref="I5:W5"/>
    <mergeCell ref="B6:G6"/>
    <mergeCell ref="I6:I7"/>
    <mergeCell ref="J6:J7"/>
    <mergeCell ref="K6:K7"/>
    <mergeCell ref="L6:Q6"/>
    <mergeCell ref="R6:W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11.14"/>
    <col customWidth="1" min="3" max="3" width="16.0"/>
    <col customWidth="1" min="4" max="4" width="20.14"/>
    <col customWidth="1" min="5" max="6" width="8.86"/>
    <col customWidth="1" min="7" max="7" width="9.29"/>
    <col customWidth="1" min="8" max="26" width="8.86"/>
  </cols>
  <sheetData>
    <row r="1">
      <c r="A1" s="11" t="s">
        <v>275</v>
      </c>
    </row>
    <row r="3">
      <c r="A3" s="11" t="s">
        <v>277</v>
      </c>
    </row>
    <row r="4" ht="28.5" customHeight="1">
      <c r="A4" s="258" t="s">
        <v>278</v>
      </c>
      <c r="B4" s="258" t="s">
        <v>280</v>
      </c>
      <c r="C4" s="259" t="s">
        <v>281</v>
      </c>
      <c r="D4" s="259" t="s">
        <v>282</v>
      </c>
      <c r="F4" s="259" t="s">
        <v>280</v>
      </c>
      <c r="G4" s="259" t="s">
        <v>283</v>
      </c>
      <c r="H4" s="259" t="s">
        <v>284</v>
      </c>
    </row>
    <row r="5">
      <c r="A5" s="260" t="s">
        <v>285</v>
      </c>
      <c r="B5" s="260" t="s">
        <v>62</v>
      </c>
      <c r="C5" s="261">
        <v>12534.0</v>
      </c>
      <c r="D5" s="261"/>
      <c r="F5" s="262" t="s">
        <v>62</v>
      </c>
      <c r="G5" s="263">
        <f t="shared" ref="G5:G7" si="1">SUMIFS($C$5:$C$13,$B$5:$B$13,F5)</f>
        <v>12534</v>
      </c>
      <c r="H5" s="264">
        <f t="shared" ref="H5:H8" si="2">G5/G$8</f>
        <v>0.01316333925</v>
      </c>
    </row>
    <row r="6">
      <c r="A6" s="260" t="s">
        <v>285</v>
      </c>
      <c r="B6" s="260" t="s">
        <v>59</v>
      </c>
      <c r="C6" s="261">
        <v>103535.0</v>
      </c>
      <c r="D6" s="261"/>
      <c r="F6" s="262" t="s">
        <v>59</v>
      </c>
      <c r="G6" s="263">
        <f t="shared" si="1"/>
        <v>783134</v>
      </c>
      <c r="H6" s="264">
        <f t="shared" si="2"/>
        <v>0.8224556023</v>
      </c>
    </row>
    <row r="7">
      <c r="A7" s="260" t="s">
        <v>285</v>
      </c>
      <c r="B7" s="260" t="s">
        <v>55</v>
      </c>
      <c r="C7" s="261">
        <v>16720.0</v>
      </c>
      <c r="D7" s="261"/>
      <c r="F7" s="262" t="s">
        <v>55</v>
      </c>
      <c r="G7" s="263">
        <f t="shared" si="1"/>
        <v>156522</v>
      </c>
      <c r="H7" s="264">
        <f t="shared" si="2"/>
        <v>0.1643810584</v>
      </c>
    </row>
    <row r="8">
      <c r="A8" s="260" t="s">
        <v>286</v>
      </c>
      <c r="B8" s="260" t="s">
        <v>55</v>
      </c>
      <c r="C8" s="261">
        <v>11340.0</v>
      </c>
      <c r="D8" s="261"/>
      <c r="F8" s="265" t="s">
        <v>116</v>
      </c>
      <c r="G8" s="267">
        <f>SUM(G5:G7)</f>
        <v>952190</v>
      </c>
      <c r="H8" s="269">
        <f t="shared" si="2"/>
        <v>1</v>
      </c>
    </row>
    <row r="9">
      <c r="A9" s="260" t="s">
        <v>287</v>
      </c>
      <c r="B9" s="260" t="s">
        <v>59</v>
      </c>
      <c r="C9" s="261">
        <v>662402.0</v>
      </c>
      <c r="D9" s="261"/>
    </row>
    <row r="10">
      <c r="A10" s="260" t="s">
        <v>287</v>
      </c>
      <c r="B10" s="260" t="s">
        <v>55</v>
      </c>
      <c r="C10" s="261">
        <v>56846.0</v>
      </c>
      <c r="D10" s="261"/>
      <c r="G10" s="270"/>
    </row>
    <row r="11">
      <c r="A11" s="260" t="s">
        <v>289</v>
      </c>
      <c r="B11" s="260" t="s">
        <v>59</v>
      </c>
      <c r="C11" s="261">
        <v>6350.0</v>
      </c>
      <c r="D11" s="261"/>
    </row>
    <row r="12">
      <c r="A12" s="260" t="s">
        <v>289</v>
      </c>
      <c r="B12" s="260" t="s">
        <v>55</v>
      </c>
      <c r="C12" s="261">
        <v>71616.0</v>
      </c>
      <c r="D12" s="261"/>
      <c r="I12" s="271"/>
      <c r="J12" s="271"/>
      <c r="K12" s="271"/>
      <c r="L12" s="271"/>
      <c r="M12" s="271"/>
      <c r="N12" s="271"/>
    </row>
    <row r="13">
      <c r="A13" s="260" t="s">
        <v>290</v>
      </c>
      <c r="B13" s="260" t="s">
        <v>59</v>
      </c>
      <c r="C13" s="261">
        <v>10847.0</v>
      </c>
      <c r="D13" s="261">
        <v>22928.0</v>
      </c>
    </row>
    <row r="14">
      <c r="A14" s="272" t="s">
        <v>116</v>
      </c>
      <c r="B14" s="272"/>
      <c r="C14" s="273">
        <f t="shared" ref="C14:D14" si="3">SUM(C5:C13)</f>
        <v>952190</v>
      </c>
      <c r="D14" s="273">
        <f t="shared" si="3"/>
        <v>22928</v>
      </c>
      <c r="E14" s="11"/>
      <c r="F14" s="11"/>
      <c r="G14" s="11"/>
      <c r="H14" s="11"/>
      <c r="I14" s="11"/>
      <c r="J14" s="11"/>
      <c r="K14" s="11"/>
      <c r="L14" s="11"/>
      <c r="M14" s="11"/>
      <c r="N14" s="11"/>
      <c r="O14" s="11"/>
      <c r="P14" s="11"/>
      <c r="Q14" s="11"/>
      <c r="R14" s="11"/>
      <c r="S14" s="11"/>
      <c r="T14" s="11"/>
      <c r="U14" s="11"/>
      <c r="V14" s="11"/>
      <c r="W14" s="11"/>
      <c r="X14" s="11"/>
      <c r="Y14" s="11"/>
      <c r="Z14" s="11"/>
    </row>
    <row r="17">
      <c r="A17" s="11" t="s">
        <v>291</v>
      </c>
    </row>
    <row r="18">
      <c r="A18" s="258" t="s">
        <v>292</v>
      </c>
      <c r="B18" s="274" t="s">
        <v>293</v>
      </c>
      <c r="C18" s="274" t="s">
        <v>294</v>
      </c>
    </row>
    <row r="19">
      <c r="A19" s="260" t="s">
        <v>295</v>
      </c>
      <c r="B19" s="261">
        <v>769208.0</v>
      </c>
      <c r="C19" s="261">
        <v>441381.0</v>
      </c>
    </row>
    <row r="20">
      <c r="A20" s="260" t="s">
        <v>296</v>
      </c>
      <c r="B20" s="261">
        <v>15340.0</v>
      </c>
      <c r="C20" s="261">
        <v>9017.0</v>
      </c>
    </row>
    <row r="21" ht="15.75" customHeight="1">
      <c r="A21" s="260" t="s">
        <v>298</v>
      </c>
      <c r="B21" s="261">
        <v>2844.0</v>
      </c>
      <c r="C21" s="261">
        <v>1698.0</v>
      </c>
    </row>
    <row r="22" ht="15.75" customHeight="1">
      <c r="A22" s="260" t="s">
        <v>299</v>
      </c>
      <c r="B22" s="261">
        <v>13000.0</v>
      </c>
      <c r="C22" s="261">
        <v>13000.0</v>
      </c>
    </row>
    <row r="23" ht="15.75" customHeight="1">
      <c r="A23" s="272" t="s">
        <v>116</v>
      </c>
      <c r="B23" s="273">
        <f t="shared" ref="B23:C23" si="4">SUM(B19:B22)</f>
        <v>800392</v>
      </c>
      <c r="C23" s="273">
        <f t="shared" si="4"/>
        <v>465096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11.0"/>
    <col customWidth="1" min="3" max="3" width="10.43"/>
    <col customWidth="1" min="4" max="4" width="10.86"/>
    <col customWidth="1" min="5" max="5" width="10.43"/>
    <col customWidth="1" min="6" max="6" width="10.14"/>
    <col customWidth="1" min="7" max="7" width="10.43"/>
    <col customWidth="1" min="8" max="8" width="7.43"/>
    <col customWidth="1" min="9" max="9" width="7.71"/>
    <col customWidth="1" min="10" max="12" width="8.71"/>
    <col customWidth="1" min="13" max="13" width="10.86"/>
    <col customWidth="1" min="14" max="14" width="37.71"/>
    <col customWidth="1" min="15" max="15" width="13.0"/>
    <col customWidth="1" min="16" max="16" width="9.86"/>
    <col customWidth="1" min="17" max="26" width="8.86"/>
  </cols>
  <sheetData>
    <row r="1">
      <c r="A1" s="278" t="str">
        <f>#REF!</f>
        <v>#REF!</v>
      </c>
      <c r="N1" s="8"/>
    </row>
    <row r="2">
      <c r="A2" s="11" t="s">
        <v>300</v>
      </c>
      <c r="B2" s="11"/>
      <c r="C2" s="8"/>
      <c r="N2" s="8"/>
    </row>
    <row r="3" ht="32.25" customHeight="1">
      <c r="A3" s="15" t="s">
        <v>301</v>
      </c>
      <c r="H3" s="18"/>
      <c r="I3" s="18"/>
      <c r="J3" s="18"/>
      <c r="K3" s="18"/>
      <c r="N3" s="22" t="s">
        <v>14</v>
      </c>
    </row>
    <row r="4">
      <c r="A4" s="25" t="s">
        <v>302</v>
      </c>
      <c r="B4" s="25" t="s">
        <v>17</v>
      </c>
      <c r="C4" s="28" t="s">
        <v>303</v>
      </c>
      <c r="D4" s="29"/>
      <c r="E4" s="29"/>
      <c r="F4" s="29"/>
      <c r="G4" s="31"/>
      <c r="N4" s="244" t="s">
        <v>304</v>
      </c>
    </row>
    <row r="5">
      <c r="A5" s="39" t="s">
        <v>309</v>
      </c>
      <c r="B5" s="39"/>
      <c r="C5" s="281"/>
      <c r="D5" s="29"/>
      <c r="E5" s="29"/>
      <c r="F5" s="29"/>
      <c r="G5" s="31"/>
      <c r="N5" s="44"/>
    </row>
    <row r="6">
      <c r="A6" s="39" t="s">
        <v>310</v>
      </c>
      <c r="B6" s="39"/>
      <c r="C6" s="281"/>
      <c r="D6" s="29"/>
      <c r="E6" s="29"/>
      <c r="F6" s="29"/>
      <c r="G6" s="31"/>
      <c r="N6" s="44"/>
    </row>
    <row r="7">
      <c r="A7" s="39" t="s">
        <v>65</v>
      </c>
      <c r="B7" s="39"/>
      <c r="C7" s="281"/>
      <c r="D7" s="29"/>
      <c r="E7" s="29"/>
      <c r="F7" s="29"/>
      <c r="G7" s="31"/>
      <c r="N7" s="44"/>
    </row>
    <row r="8">
      <c r="A8" s="39" t="s">
        <v>322</v>
      </c>
      <c r="B8" s="39"/>
      <c r="C8" s="281"/>
      <c r="D8" s="29"/>
      <c r="E8" s="29"/>
      <c r="F8" s="29"/>
      <c r="G8" s="31"/>
      <c r="N8" s="44"/>
    </row>
    <row r="9">
      <c r="A9" s="39" t="s">
        <v>323</v>
      </c>
      <c r="B9" s="39"/>
      <c r="C9" s="286"/>
      <c r="D9" s="29"/>
      <c r="E9" s="29"/>
      <c r="F9" s="29"/>
      <c r="G9" s="31"/>
      <c r="N9" s="44"/>
    </row>
    <row r="10">
      <c r="A10" s="287" t="s">
        <v>324</v>
      </c>
      <c r="B10" s="287"/>
      <c r="C10" s="289"/>
      <c r="D10" s="29"/>
      <c r="E10" s="29"/>
      <c r="F10" s="29"/>
      <c r="G10" s="31"/>
      <c r="N10" s="44"/>
    </row>
    <row r="11">
      <c r="A11" s="48"/>
      <c r="B11" s="8"/>
      <c r="N11" s="44"/>
    </row>
    <row r="12">
      <c r="A12" s="50" t="s">
        <v>71</v>
      </c>
      <c r="B12" s="51" t="s">
        <v>72</v>
      </c>
      <c r="C12" s="29"/>
      <c r="D12" s="31"/>
      <c r="N12" s="38" t="s">
        <v>73</v>
      </c>
    </row>
    <row r="13">
      <c r="B13" s="59" t="s">
        <v>325</v>
      </c>
      <c r="C13" s="29"/>
      <c r="D13" s="31"/>
      <c r="N13" s="44"/>
    </row>
    <row r="14">
      <c r="B14" s="63" t="s">
        <v>326</v>
      </c>
      <c r="C14" s="29"/>
      <c r="D14" s="31"/>
      <c r="N14" s="44"/>
    </row>
    <row r="15">
      <c r="B15" s="65" t="s">
        <v>79</v>
      </c>
      <c r="C15" s="29"/>
      <c r="D15" s="31"/>
      <c r="N15" s="44"/>
    </row>
    <row r="16">
      <c r="C16" s="8"/>
      <c r="N16" s="44"/>
    </row>
    <row r="17">
      <c r="A17" s="11" t="s">
        <v>327</v>
      </c>
      <c r="B17" s="11" t="s">
        <v>328</v>
      </c>
      <c r="C17" s="292" t="s">
        <v>329</v>
      </c>
      <c r="N17" s="38" t="s">
        <v>84</v>
      </c>
    </row>
    <row r="18">
      <c r="A18" s="68" t="s">
        <v>330</v>
      </c>
      <c r="B18" s="293">
        <v>5.73</v>
      </c>
      <c r="C18" s="293">
        <v>6.0</v>
      </c>
      <c r="D18" s="71"/>
      <c r="N18" s="38" t="s">
        <v>88</v>
      </c>
    </row>
    <row r="19">
      <c r="A19" s="68" t="s">
        <v>331</v>
      </c>
      <c r="B19" s="293">
        <v>7.2</v>
      </c>
      <c r="C19" s="293">
        <v>9.0</v>
      </c>
      <c r="D19" s="80" t="s">
        <v>332</v>
      </c>
      <c r="F19" s="80"/>
      <c r="N19" s="38" t="s">
        <v>96</v>
      </c>
    </row>
    <row r="20">
      <c r="A20" s="68" t="s">
        <v>333</v>
      </c>
      <c r="B20" s="294">
        <v>3525.0</v>
      </c>
      <c r="C20" s="294">
        <v>1020.0</v>
      </c>
      <c r="D20" s="89"/>
      <c r="N20" s="38" t="s">
        <v>99</v>
      </c>
    </row>
    <row r="21" ht="15.75" customHeight="1">
      <c r="A21" s="68" t="s">
        <v>334</v>
      </c>
      <c r="B21" s="293" t="str">
        <f>VLOOKUP(B20,#REF!,2)/1000000</f>
        <v>#REF!</v>
      </c>
      <c r="C21" s="293">
        <f>VLOOKUP(C20,'Mead-Elevation-Area'!$A$5:$B$689,2)/1000000</f>
        <v>5.664593</v>
      </c>
      <c r="D21" s="89"/>
      <c r="E21" s="92"/>
      <c r="N21" s="38" t="s">
        <v>335</v>
      </c>
    </row>
    <row r="22" ht="15.75" customHeight="1">
      <c r="A22" s="68" t="s">
        <v>336</v>
      </c>
      <c r="B22" s="293">
        <f>78.1</f>
        <v>78.1</v>
      </c>
      <c r="D22" s="97"/>
      <c r="E22" s="92"/>
      <c r="N22" s="38" t="s">
        <v>337</v>
      </c>
    </row>
    <row r="23" ht="15.75" customHeight="1">
      <c r="A23" s="68" t="s">
        <v>338</v>
      </c>
      <c r="B23" s="296">
        <v>0.17</v>
      </c>
      <c r="D23" s="97"/>
      <c r="E23" s="92"/>
      <c r="N23" s="38" t="s">
        <v>339</v>
      </c>
    </row>
    <row r="24" ht="15.75" customHeight="1">
      <c r="A24" s="68" t="s">
        <v>340</v>
      </c>
      <c r="B24" s="293">
        <f>10*(7.5+1.5/2)-B22-B23</f>
        <v>4.23</v>
      </c>
      <c r="D24" s="97"/>
      <c r="E24" s="92"/>
      <c r="N24" s="38" t="s">
        <v>341</v>
      </c>
    </row>
    <row r="25" ht="15.75" customHeight="1">
      <c r="A25" s="68" t="s">
        <v>342</v>
      </c>
      <c r="B25" s="293">
        <f>2.3 - IF(A9&lt;&gt;"",1.06,0)</f>
        <v>1.24</v>
      </c>
      <c r="D25" s="97"/>
      <c r="E25" s="92"/>
      <c r="N25" s="38" t="s">
        <v>343</v>
      </c>
    </row>
    <row r="26" ht="15.75" customHeight="1">
      <c r="B26" s="92"/>
      <c r="C26" s="8"/>
      <c r="N26" s="44"/>
    </row>
    <row r="27" ht="15.75" hidden="1" customHeight="1">
      <c r="A27" s="106" t="s">
        <v>121</v>
      </c>
      <c r="B27" s="109" t="s">
        <v>124</v>
      </c>
      <c r="C27" s="109" t="s">
        <v>125</v>
      </c>
      <c r="D27" s="109" t="s">
        <v>127</v>
      </c>
      <c r="E27" s="109" t="s">
        <v>128</v>
      </c>
      <c r="F27" s="109" t="s">
        <v>129</v>
      </c>
      <c r="G27" s="109" t="s">
        <v>130</v>
      </c>
      <c r="H27" s="109" t="s">
        <v>131</v>
      </c>
      <c r="I27" s="109" t="s">
        <v>132</v>
      </c>
      <c r="J27" s="109" t="s">
        <v>134</v>
      </c>
      <c r="K27" s="109" t="s">
        <v>135</v>
      </c>
      <c r="L27" s="109" t="s">
        <v>136</v>
      </c>
      <c r="M27" s="109" t="s">
        <v>116</v>
      </c>
      <c r="N27" s="112" t="str">
        <f>N3</f>
        <v>HELP, CONTEXT, and SUGGESTIONS</v>
      </c>
      <c r="O27" s="11"/>
      <c r="P27" s="11"/>
      <c r="Q27" s="11"/>
      <c r="R27" s="11"/>
      <c r="S27" s="11"/>
      <c r="T27" s="11"/>
      <c r="U27" s="11"/>
      <c r="V27" s="11"/>
      <c r="W27" s="11"/>
      <c r="X27" s="11"/>
      <c r="Y27" s="11"/>
      <c r="Z27" s="11"/>
    </row>
    <row r="28" ht="15.75" customHeight="1">
      <c r="A28" s="84" t="s">
        <v>345</v>
      </c>
      <c r="B28" s="11"/>
      <c r="C28" s="118">
        <v>0.0</v>
      </c>
      <c r="D28" s="118">
        <v>0.0</v>
      </c>
      <c r="E28" s="118">
        <v>0.2</v>
      </c>
      <c r="F28" s="118">
        <v>2.1</v>
      </c>
      <c r="G28" s="118">
        <v>3.5</v>
      </c>
      <c r="H28" s="118">
        <v>6.0</v>
      </c>
      <c r="I28" s="118">
        <v>8.0</v>
      </c>
      <c r="J28" s="118">
        <v>11.26</v>
      </c>
      <c r="K28" s="118">
        <v>12.5</v>
      </c>
      <c r="L28" s="118">
        <v>16.0</v>
      </c>
      <c r="N28" s="244" t="s">
        <v>346</v>
      </c>
    </row>
    <row r="29" ht="15.75" customHeight="1">
      <c r="A29" s="11" t="s">
        <v>144</v>
      </c>
      <c r="B29" s="11"/>
      <c r="C29" s="124">
        <v>0.0</v>
      </c>
      <c r="D29" s="124">
        <v>0.5</v>
      </c>
      <c r="E29" s="124">
        <f t="shared" ref="E29:L29" si="1">IF(E$28&lt;&gt;"",0.8,"")</f>
        <v>0.8</v>
      </c>
      <c r="F29" s="124">
        <f t="shared" si="1"/>
        <v>0.8</v>
      </c>
      <c r="G29" s="124">
        <f t="shared" si="1"/>
        <v>0.8</v>
      </c>
      <c r="H29" s="124">
        <f t="shared" si="1"/>
        <v>0.8</v>
      </c>
      <c r="I29" s="124">
        <f t="shared" si="1"/>
        <v>0.8</v>
      </c>
      <c r="J29" s="124">
        <f t="shared" si="1"/>
        <v>0.8</v>
      </c>
      <c r="K29" s="124">
        <f t="shared" si="1"/>
        <v>0.8</v>
      </c>
      <c r="L29" s="124">
        <f t="shared" si="1"/>
        <v>0.8</v>
      </c>
      <c r="N29" s="38" t="s">
        <v>147</v>
      </c>
    </row>
    <row r="30" ht="15.75" customHeight="1">
      <c r="A30" s="11" t="s">
        <v>164</v>
      </c>
      <c r="B30" s="11"/>
      <c r="C30" s="124">
        <v>0.0</v>
      </c>
      <c r="D30" s="124">
        <v>0.1</v>
      </c>
      <c r="E30" s="124">
        <f t="shared" ref="E30:L30" si="2">IF(E$28&lt;&gt;"",0.2,"")</f>
        <v>0.2</v>
      </c>
      <c r="F30" s="124">
        <f t="shared" si="2"/>
        <v>0.2</v>
      </c>
      <c r="G30" s="124">
        <f t="shared" si="2"/>
        <v>0.2</v>
      </c>
      <c r="H30" s="124">
        <f t="shared" si="2"/>
        <v>0.2</v>
      </c>
      <c r="I30" s="124">
        <f t="shared" si="2"/>
        <v>0.2</v>
      </c>
      <c r="J30" s="124">
        <f t="shared" si="2"/>
        <v>0.2</v>
      </c>
      <c r="K30" s="124">
        <f t="shared" si="2"/>
        <v>0.2</v>
      </c>
      <c r="L30" s="124">
        <f t="shared" si="2"/>
        <v>0.2</v>
      </c>
      <c r="N30" s="38" t="s">
        <v>167</v>
      </c>
    </row>
    <row r="31" ht="15.75" customHeight="1">
      <c r="A31" s="11" t="s">
        <v>168</v>
      </c>
      <c r="B31" s="11"/>
      <c r="C31" s="124">
        <f t="shared" ref="C31:L31" si="3">IF(C$28&lt;&gt;"",0.6,"")</f>
        <v>0.6</v>
      </c>
      <c r="D31" s="124">
        <f t="shared" si="3"/>
        <v>0.6</v>
      </c>
      <c r="E31" s="124">
        <f t="shared" si="3"/>
        <v>0.6</v>
      </c>
      <c r="F31" s="124">
        <f t="shared" si="3"/>
        <v>0.6</v>
      </c>
      <c r="G31" s="124">
        <f t="shared" si="3"/>
        <v>0.6</v>
      </c>
      <c r="H31" s="124">
        <f t="shared" si="3"/>
        <v>0.6</v>
      </c>
      <c r="I31" s="124">
        <f t="shared" si="3"/>
        <v>0.6</v>
      </c>
      <c r="J31" s="124">
        <f t="shared" si="3"/>
        <v>0.6</v>
      </c>
      <c r="K31" s="124">
        <f t="shared" si="3"/>
        <v>0.6</v>
      </c>
      <c r="L31" s="124">
        <f t="shared" si="3"/>
        <v>0.6</v>
      </c>
      <c r="N31" s="38" t="s">
        <v>170</v>
      </c>
    </row>
    <row r="32" ht="15.75" customHeight="1">
      <c r="A32" s="11" t="s">
        <v>347</v>
      </c>
      <c r="N32" s="38" t="s">
        <v>236</v>
      </c>
    </row>
    <row r="33" ht="15.75" customHeight="1">
      <c r="A33" s="68" t="s">
        <v>238</v>
      </c>
      <c r="C33" s="87">
        <f>IF(C$28&lt;&gt;"",IF(COLUMN(C27)=COLUMN($C27),$B$19,#REF!),"")</f>
        <v>7.2</v>
      </c>
      <c r="D33" s="87">
        <f t="shared" ref="D33:L33" si="4">C33</f>
        <v>7.2</v>
      </c>
      <c r="E33" s="87">
        <f t="shared" si="4"/>
        <v>7.2</v>
      </c>
      <c r="F33" s="87">
        <f t="shared" si="4"/>
        <v>7.2</v>
      </c>
      <c r="G33" s="87">
        <f t="shared" si="4"/>
        <v>7.2</v>
      </c>
      <c r="H33" s="87">
        <f t="shared" si="4"/>
        <v>7.2</v>
      </c>
      <c r="I33" s="87">
        <f t="shared" si="4"/>
        <v>7.2</v>
      </c>
      <c r="J33" s="87">
        <f t="shared" si="4"/>
        <v>7.2</v>
      </c>
      <c r="K33" s="87">
        <f t="shared" si="4"/>
        <v>7.2</v>
      </c>
      <c r="L33" s="87">
        <f t="shared" si="4"/>
        <v>7.2</v>
      </c>
      <c r="N33" s="44"/>
    </row>
    <row r="34" ht="15.75" customHeight="1">
      <c r="A34" s="68" t="s">
        <v>241</v>
      </c>
      <c r="C34" s="87">
        <f>IF(C$28&lt;&gt;"",IF(COLUMN(C28)=COLUMN($C28),$C$19,#REF!),"")</f>
        <v>9</v>
      </c>
      <c r="D34" s="87">
        <f t="shared" ref="D34:L34" si="5">C34</f>
        <v>9</v>
      </c>
      <c r="E34" s="87">
        <f t="shared" si="5"/>
        <v>9</v>
      </c>
      <c r="F34" s="87">
        <f t="shared" si="5"/>
        <v>9</v>
      </c>
      <c r="G34" s="87">
        <f t="shared" si="5"/>
        <v>9</v>
      </c>
      <c r="H34" s="87">
        <f t="shared" si="5"/>
        <v>9</v>
      </c>
      <c r="I34" s="87">
        <f t="shared" si="5"/>
        <v>9</v>
      </c>
      <c r="J34" s="87">
        <f t="shared" si="5"/>
        <v>9</v>
      </c>
      <c r="K34" s="87">
        <f t="shared" si="5"/>
        <v>9</v>
      </c>
      <c r="L34" s="87">
        <f t="shared" si="5"/>
        <v>9</v>
      </c>
      <c r="N34" s="44"/>
    </row>
    <row r="35" ht="15.75" customHeight="1">
      <c r="A35" s="11" t="s">
        <v>348</v>
      </c>
      <c r="B35" s="299"/>
      <c r="C35" s="87" t="str">
        <f>SUM(B21:C21)</f>
        <v>#REF!</v>
      </c>
      <c r="D35" s="87" t="str">
        <f t="shared" ref="D35:L35" si="6">C35</f>
        <v>#REF!</v>
      </c>
      <c r="E35" s="87" t="str">
        <f t="shared" si="6"/>
        <v>#REF!</v>
      </c>
      <c r="F35" s="87" t="str">
        <f t="shared" si="6"/>
        <v>#REF!</v>
      </c>
      <c r="G35" s="87" t="str">
        <f t="shared" si="6"/>
        <v>#REF!</v>
      </c>
      <c r="H35" s="87" t="str">
        <f t="shared" si="6"/>
        <v>#REF!</v>
      </c>
      <c r="I35" s="87" t="str">
        <f t="shared" si="6"/>
        <v>#REF!</v>
      </c>
      <c r="J35" s="87" t="str">
        <f t="shared" si="6"/>
        <v>#REF!</v>
      </c>
      <c r="K35" s="87" t="str">
        <f t="shared" si="6"/>
        <v>#REF!</v>
      </c>
      <c r="L35" s="87" t="str">
        <f t="shared" si="6"/>
        <v>#REF!</v>
      </c>
      <c r="N35" s="44"/>
    </row>
    <row r="36" ht="15.75" customHeight="1">
      <c r="A36" s="11" t="s">
        <v>349</v>
      </c>
      <c r="B36" s="11"/>
      <c r="C36" s="87" t="str">
        <f>IF(C$28&lt;&gt;"",VLOOKUP(C33*1000000,#REF!,3)*$B$18/1000000 + VLOOKUP(C34*1000000,'Mead-Elevation-Area'!$B$5:$D$676,3)*$C$18/1000000,"")</f>
        <v>#REF!</v>
      </c>
      <c r="D36" s="87" t="str">
        <f>IF(D$28&lt;&gt;"",VLOOKUP(D33*1000000,#REF!,3)*$B$18/1000000 + VLOOKUP(D34*1000000,'Mead-Elevation-Area'!$B$5:$D$676,3)*$C$18/1000000,"")</f>
        <v>#REF!</v>
      </c>
      <c r="E36" s="87" t="str">
        <f>IF(E$28&lt;&gt;"",VLOOKUP(E33*1000000,#REF!,3)*$B$18/1000000 + VLOOKUP(E34*1000000,'Mead-Elevation-Area'!$B$5:$D$676,3)*$C$18/1000000,"")</f>
        <v>#REF!</v>
      </c>
      <c r="F36" s="87" t="str">
        <f>IF(F$28&lt;&gt;"",VLOOKUP(F33*1000000,#REF!,3)*$B$18/1000000 + VLOOKUP(F34*1000000,'Mead-Elevation-Area'!$B$5:$D$676,3)*$C$18/1000000,"")</f>
        <v>#REF!</v>
      </c>
      <c r="G36" s="87" t="str">
        <f>IF(G$28&lt;&gt;"",VLOOKUP(G33*1000000,#REF!,3)*$B$18/1000000 + VLOOKUP(G34*1000000,'Mead-Elevation-Area'!$B$5:$D$676,3)*$C$18/1000000,"")</f>
        <v>#REF!</v>
      </c>
      <c r="H36" s="87" t="str">
        <f>IF(H$28&lt;&gt;"",VLOOKUP(H33*1000000,#REF!,3)*$B$18/1000000 + VLOOKUP(H34*1000000,'Mead-Elevation-Area'!$B$5:$D$676,3)*$C$18/1000000,"")</f>
        <v>#REF!</v>
      </c>
      <c r="I36" s="87" t="str">
        <f>IF(I$28&lt;&gt;"",VLOOKUP(I33*1000000,#REF!,3)*$B$18/1000000 + VLOOKUP(I34*1000000,'Mead-Elevation-Area'!$B$5:$D$676,3)*$C$18/1000000,"")</f>
        <v>#REF!</v>
      </c>
      <c r="J36" s="87" t="str">
        <f>IF(J$28&lt;&gt;"",VLOOKUP(J33*1000000,#REF!,3)*$B$18/1000000 + VLOOKUP(J34*1000000,'Mead-Elevation-Area'!$B$5:$D$676,3)*$C$18/1000000,"")</f>
        <v>#REF!</v>
      </c>
      <c r="K36" s="87" t="str">
        <f>IF(K$28&lt;&gt;"",VLOOKUP(K33*1000000,#REF!,3)*$B$18/1000000 + VLOOKUP(K34*1000000,'Mead-Elevation-Area'!$B$5:$D$676,3)*$C$18/1000000,"")</f>
        <v>#REF!</v>
      </c>
      <c r="L36" s="87" t="str">
        <f>IF(L$28&lt;&gt;"",VLOOKUP(L33*1000000,#REF!,3)*$B$18/1000000 + VLOOKUP(L34*1000000,'Mead-Elevation-Area'!$B$5:$D$676,3)*$C$18/1000000,"")</f>
        <v>#REF!</v>
      </c>
      <c r="N36" s="38" t="s">
        <v>378</v>
      </c>
    </row>
    <row r="37" ht="15.75" customHeight="1">
      <c r="A37" s="68" t="str">
        <f>IF(A10="","","    "&amp;A10&amp;" Share")</f>
        <v>    Shared, Reserve Share</v>
      </c>
      <c r="B37" s="11"/>
      <c r="C37" s="87" t="str">
        <f t="shared" ref="C37:L37" si="7">IF(OR(C$28="",$A37=""),"",C$36*C35/SUM(C33:C34))</f>
        <v>#REF!</v>
      </c>
      <c r="D37" s="87" t="str">
        <f t="shared" si="7"/>
        <v>#REF!</v>
      </c>
      <c r="E37" s="87" t="str">
        <f t="shared" si="7"/>
        <v>#REF!</v>
      </c>
      <c r="F37" s="87" t="str">
        <f t="shared" si="7"/>
        <v>#REF!</v>
      </c>
      <c r="G37" s="87" t="str">
        <f t="shared" si="7"/>
        <v>#REF!</v>
      </c>
      <c r="H37" s="87" t="str">
        <f t="shared" si="7"/>
        <v>#REF!</v>
      </c>
      <c r="I37" s="87" t="str">
        <f t="shared" si="7"/>
        <v>#REF!</v>
      </c>
      <c r="J37" s="87" t="str">
        <f t="shared" si="7"/>
        <v>#REF!</v>
      </c>
      <c r="K37" s="87" t="str">
        <f t="shared" si="7"/>
        <v>#REF!</v>
      </c>
      <c r="L37" s="87" t="str">
        <f t="shared" si="7"/>
        <v>#REF!</v>
      </c>
      <c r="N37" s="44"/>
    </row>
    <row r="38" ht="15.75" customHeight="1">
      <c r="A38" s="11" t="s">
        <v>380</v>
      </c>
      <c r="B38" s="337"/>
      <c r="C38" s="213">
        <f>IF(C$28&lt;&gt;"",1.5-0.21/9/2-VLOOKUP(C34,MandatoryConservation!$C$5:$P$13,13)-C31*(1.5/8.7),"")</f>
        <v>1.304885057</v>
      </c>
      <c r="D38" s="213">
        <f>IF(D$28&lt;&gt;"",1.5-0.21/9/2-VLOOKUP(D34,MandatoryConservation!$C$5:$P$13,13)-D31*(1.5/8.7),"")</f>
        <v>1.304885057</v>
      </c>
      <c r="E38" s="213">
        <f>IF(E$28&lt;&gt;"",1.5-0.21/9/2-VLOOKUP(E34,MandatoryConservation!$C$5:$P$13,13)-E31*(1.5/8.7),"")</f>
        <v>1.304885057</v>
      </c>
      <c r="F38" s="213">
        <f>IF(F$28&lt;&gt;"",1.5-0.21/9/2-VLOOKUP(F34,MandatoryConservation!$C$5:$P$13,13)-F31*(1.5/8.7),"")</f>
        <v>1.304885057</v>
      </c>
      <c r="G38" s="213">
        <f>IF(G$28&lt;&gt;"",1.5-0.21/9/2-VLOOKUP(G34,MandatoryConservation!$C$5:$P$13,13)-G31*(1.5/8.7),"")</f>
        <v>1.304885057</v>
      </c>
      <c r="H38" s="213">
        <f>IF(H$28&lt;&gt;"",1.5-0.21/9/2-VLOOKUP(H34,MandatoryConservation!$C$5:$P$13,13)-H31*(1.5/8.7),"")</f>
        <v>1.304885057</v>
      </c>
      <c r="I38" s="213">
        <f>IF(I$28&lt;&gt;"",1.5-0.21/9/2-VLOOKUP(I34,MandatoryConservation!$C$5:$P$13,13)-I31*(1.5/8.7),"")</f>
        <v>1.304885057</v>
      </c>
      <c r="J38" s="213">
        <f>IF(J$28&lt;&gt;"",1.5-0.21/9/2-VLOOKUP(J34,MandatoryConservation!$C$5:$P$13,13)-J31*(1.5/8.7),"")</f>
        <v>1.304885057</v>
      </c>
      <c r="K38" s="213">
        <f>IF(K$28&lt;&gt;"",1.5-0.21/9/2-VLOOKUP(K34,MandatoryConservation!$C$5:$P$13,13)-K31*(1.5/8.7),"")</f>
        <v>1.304885057</v>
      </c>
      <c r="L38" s="213">
        <f>IF(L$28&lt;&gt;"",1.5-0.21/9/2-VLOOKUP(L34,MandatoryConservation!$C$5:$P$13,13)-L31*(1.5/8.7),"")</f>
        <v>1.304885057</v>
      </c>
      <c r="M38" s="68">
        <v>16.0</v>
      </c>
      <c r="N38" s="38" t="s">
        <v>381</v>
      </c>
    </row>
    <row r="39" ht="15.75" customHeight="1">
      <c r="A39" s="84" t="s">
        <v>382</v>
      </c>
      <c r="B39" s="11"/>
      <c r="C39" s="87">
        <f t="shared" ref="C39:L39" si="8">IF(C28="","",SUM(C28:C30))</f>
        <v>0</v>
      </c>
      <c r="D39" s="87">
        <f t="shared" si="8"/>
        <v>0.6</v>
      </c>
      <c r="E39" s="87">
        <f t="shared" si="8"/>
        <v>1.2</v>
      </c>
      <c r="F39" s="87">
        <f t="shared" si="8"/>
        <v>3.1</v>
      </c>
      <c r="G39" s="87">
        <f t="shared" si="8"/>
        <v>4.5</v>
      </c>
      <c r="H39" s="87">
        <f t="shared" si="8"/>
        <v>7</v>
      </c>
      <c r="I39" s="87">
        <f t="shared" si="8"/>
        <v>9</v>
      </c>
      <c r="J39" s="87">
        <f t="shared" si="8"/>
        <v>12.26</v>
      </c>
      <c r="K39" s="87">
        <f t="shared" si="8"/>
        <v>13.5</v>
      </c>
      <c r="L39" s="87">
        <f t="shared" si="8"/>
        <v>17</v>
      </c>
      <c r="M39" s="92">
        <f>Master!C52</f>
        <v>3.8</v>
      </c>
      <c r="N39" s="339" t="s">
        <v>383</v>
      </c>
    </row>
    <row r="40" ht="15.75" customHeight="1">
      <c r="A40" s="68" t="str">
        <f t="shared" ref="A40:A45" si="10">IF(A5="","","    To "&amp;A5)</f>
        <v>    To Upper Basin</v>
      </c>
      <c r="B40" s="100" t="s">
        <v>384</v>
      </c>
      <c r="C40" s="156" t="str">
        <f t="shared" ref="C40:L40" si="9">IF(OR(C$28="",$A41=""),"",MAX(0,C39-SUM(C41:C46)))</f>
        <v>#REF!</v>
      </c>
      <c r="D40" s="156" t="str">
        <f t="shared" si="9"/>
        <v>#REF!</v>
      </c>
      <c r="E40" s="156" t="str">
        <f t="shared" si="9"/>
        <v>#REF!</v>
      </c>
      <c r="F40" s="156" t="str">
        <f t="shared" si="9"/>
        <v>#REF!</v>
      </c>
      <c r="G40" s="156" t="str">
        <f t="shared" si="9"/>
        <v>#REF!</v>
      </c>
      <c r="H40" s="156" t="str">
        <f t="shared" si="9"/>
        <v>#REF!</v>
      </c>
      <c r="I40" s="156" t="str">
        <f t="shared" si="9"/>
        <v>#REF!</v>
      </c>
      <c r="J40" s="156" t="str">
        <f t="shared" si="9"/>
        <v>#REF!</v>
      </c>
      <c r="K40" s="156" t="str">
        <f t="shared" si="9"/>
        <v>#REF!</v>
      </c>
      <c r="L40" s="156" t="str">
        <f t="shared" si="9"/>
        <v>#REF!</v>
      </c>
      <c r="M40" s="92">
        <f>Master!C53</f>
        <v>0.3641214377</v>
      </c>
      <c r="N40" s="228"/>
      <c r="P40" s="156"/>
    </row>
    <row r="41" ht="15.75" customHeight="1">
      <c r="A41" s="68" t="str">
        <f t="shared" si="10"/>
        <v>    To Lower Basin</v>
      </c>
      <c r="B41" s="154">
        <f>7.5-IF($A$9="",0,0.95)-IF(C31="",0.6,C31)*IF($A$9="",(7.2/8.7),(7.2-0.95)/8.7)-B43/2</f>
        <v>6.111187739</v>
      </c>
      <c r="C41" s="156" t="str">
        <f t="shared" ref="C41:L41" si="11">IF(OR(C$28="",$A41=""),"",IF(C39&lt;=SUM(C42:C46),0,IF(C39&lt;=SUM(C42:C46)+2*$B$25,(C39-SUM(C42:C46))/2,IF(C39&lt;=SUM(C42:C46)+2*$B$25+$B$41-$B$25,C39-SUM(C42:C46)-$B$25,$B$41))))</f>
        <v>#REF!</v>
      </c>
      <c r="D41" s="156" t="str">
        <f t="shared" si="11"/>
        <v>#REF!</v>
      </c>
      <c r="E41" s="156" t="str">
        <f t="shared" si="11"/>
        <v>#REF!</v>
      </c>
      <c r="F41" s="156" t="str">
        <f t="shared" si="11"/>
        <v>#REF!</v>
      </c>
      <c r="G41" s="156" t="str">
        <f t="shared" si="11"/>
        <v>#REF!</v>
      </c>
      <c r="H41" s="156" t="str">
        <f t="shared" si="11"/>
        <v>#REF!</v>
      </c>
      <c r="I41" s="156" t="str">
        <f t="shared" si="11"/>
        <v>#REF!</v>
      </c>
      <c r="J41" s="156" t="str">
        <f t="shared" si="11"/>
        <v>#REF!</v>
      </c>
      <c r="K41" s="156" t="str">
        <f t="shared" si="11"/>
        <v>#REF!</v>
      </c>
      <c r="L41" s="156" t="str">
        <f t="shared" si="11"/>
        <v>#REF!</v>
      </c>
      <c r="M41" s="92">
        <f>Master!C55</f>
        <v>1.70397358</v>
      </c>
      <c r="N41" s="228"/>
      <c r="P41" s="156"/>
    </row>
    <row r="42" ht="15.75" customHeight="1">
      <c r="A42" s="68" t="str">
        <f t="shared" si="10"/>
        <v>    To Mexico</v>
      </c>
      <c r="B42" s="154" t="s">
        <v>385</v>
      </c>
      <c r="C42" s="224" t="str">
        <f t="shared" ref="C42:L42" si="12">IF(OR(C$28="",$A42=""),"",MIN(C38,C$39-SUM(C43:C46)))</f>
        <v>#REF!</v>
      </c>
      <c r="D42" s="224" t="str">
        <f t="shared" si="12"/>
        <v>#REF!</v>
      </c>
      <c r="E42" s="224" t="str">
        <f t="shared" si="12"/>
        <v>#REF!</v>
      </c>
      <c r="F42" s="224" t="str">
        <f t="shared" si="12"/>
        <v>#REF!</v>
      </c>
      <c r="G42" s="224" t="str">
        <f t="shared" si="12"/>
        <v>#REF!</v>
      </c>
      <c r="H42" s="224" t="str">
        <f t="shared" si="12"/>
        <v>#REF!</v>
      </c>
      <c r="I42" s="156" t="str">
        <f t="shared" si="12"/>
        <v>#REF!</v>
      </c>
      <c r="J42" s="156" t="str">
        <f t="shared" si="12"/>
        <v>#REF!</v>
      </c>
      <c r="K42" s="156" t="str">
        <f t="shared" si="12"/>
        <v>#REF!</v>
      </c>
      <c r="L42" s="156" t="str">
        <f t="shared" si="12"/>
        <v>#REF!</v>
      </c>
      <c r="M42" s="92">
        <f>Master!C56</f>
        <v>0.6860021691</v>
      </c>
      <c r="N42" s="228"/>
    </row>
    <row r="43" ht="15.75" customHeight="1">
      <c r="A43" s="68" t="str">
        <f t="shared" si="10"/>
        <v>    To Colorado River Delta</v>
      </c>
      <c r="B43" s="341">
        <f>0.21/9*(2/3)</f>
        <v>0.01555555556</v>
      </c>
      <c r="C43" s="233" t="str">
        <f t="shared" ref="C43:L43" si="13">IF(OR(C$28="",$A43=""),"",MIN($B43,C$39-SUM(C44:C46)))</f>
        <v>#REF!</v>
      </c>
      <c r="D43" s="233" t="str">
        <f t="shared" si="13"/>
        <v>#REF!</v>
      </c>
      <c r="E43" s="233" t="str">
        <f t="shared" si="13"/>
        <v>#REF!</v>
      </c>
      <c r="F43" s="233" t="str">
        <f t="shared" si="13"/>
        <v>#REF!</v>
      </c>
      <c r="G43" s="233" t="str">
        <f t="shared" si="13"/>
        <v>#REF!</v>
      </c>
      <c r="H43" s="233" t="str">
        <f t="shared" si="13"/>
        <v>#REF!</v>
      </c>
      <c r="I43" s="233" t="str">
        <f t="shared" si="13"/>
        <v>#REF!</v>
      </c>
      <c r="J43" s="233" t="str">
        <f t="shared" si="13"/>
        <v>#REF!</v>
      </c>
      <c r="K43" s="233" t="str">
        <f t="shared" si="13"/>
        <v>#REF!</v>
      </c>
      <c r="L43" s="233" t="str">
        <f t="shared" si="13"/>
        <v>#REF!</v>
      </c>
      <c r="M43" s="342">
        <f>Master!C57</f>
        <v>0.1097442519</v>
      </c>
      <c r="N43" s="228"/>
    </row>
    <row r="44" ht="15.75" customHeight="1">
      <c r="A44" s="68" t="str">
        <f t="shared" si="10"/>
        <v>    To First Nations</v>
      </c>
      <c r="B44" s="154">
        <f>IF($A$9&lt;&gt;"",2.01-C31*0.95/8.7,"")</f>
        <v>1.944482759</v>
      </c>
      <c r="C44" s="156" t="str">
        <f t="shared" ref="C44:L44" si="14">IF(OR(C$28="",$A44=""),"",MIN($B44,C$39-SUM(C45:C46)))</f>
        <v>#REF!</v>
      </c>
      <c r="D44" s="156" t="str">
        <f t="shared" si="14"/>
        <v>#REF!</v>
      </c>
      <c r="E44" s="156" t="str">
        <f t="shared" si="14"/>
        <v>#REF!</v>
      </c>
      <c r="F44" s="156" t="str">
        <f t="shared" si="14"/>
        <v>#REF!</v>
      </c>
      <c r="G44" s="156" t="str">
        <f t="shared" si="14"/>
        <v>#REF!</v>
      </c>
      <c r="H44" s="156" t="str">
        <f t="shared" si="14"/>
        <v>#REF!</v>
      </c>
      <c r="I44" s="156" t="str">
        <f t="shared" si="14"/>
        <v>#REF!</v>
      </c>
      <c r="J44" s="156" t="str">
        <f t="shared" si="14"/>
        <v>#REF!</v>
      </c>
      <c r="K44" s="156" t="str">
        <f t="shared" si="14"/>
        <v>#REF!</v>
      </c>
      <c r="L44" s="156" t="str">
        <f t="shared" si="14"/>
        <v>#REF!</v>
      </c>
      <c r="M44" s="92">
        <f>Master!C58</f>
        <v>0.5726464271</v>
      </c>
      <c r="N44" s="228"/>
    </row>
    <row r="45" ht="15.75" customHeight="1">
      <c r="A45" s="68" t="str">
        <f t="shared" si="10"/>
        <v>    To Shared, Reserve</v>
      </c>
      <c r="B45" s="154" t="s">
        <v>390</v>
      </c>
      <c r="C45" s="345" t="str">
        <f t="shared" ref="C45:L45" si="15">IF(OR(C$28="",$A45=""),"",IF(C$39&gt;C37,C37,C39))</f>
        <v>#REF!</v>
      </c>
      <c r="D45" s="234" t="str">
        <f t="shared" si="15"/>
        <v>#REF!</v>
      </c>
      <c r="E45" s="234" t="str">
        <f t="shared" si="15"/>
        <v>#REF!</v>
      </c>
      <c r="F45" s="234" t="str">
        <f t="shared" si="15"/>
        <v>#REF!</v>
      </c>
      <c r="G45" s="234" t="str">
        <f t="shared" si="15"/>
        <v>#REF!</v>
      </c>
      <c r="H45" s="234" t="str">
        <f t="shared" si="15"/>
        <v>#REF!</v>
      </c>
      <c r="I45" s="234" t="str">
        <f t="shared" si="15"/>
        <v>#REF!</v>
      </c>
      <c r="J45" s="234" t="str">
        <f t="shared" si="15"/>
        <v>#REF!</v>
      </c>
      <c r="K45" s="234" t="str">
        <f t="shared" si="15"/>
        <v>#REF!</v>
      </c>
      <c r="L45" s="234" t="str">
        <f t="shared" si="15"/>
        <v>#REF!</v>
      </c>
      <c r="M45" s="92">
        <f>Master!C59</f>
        <v>0.3635121343</v>
      </c>
      <c r="N45" s="228"/>
    </row>
    <row r="46" ht="15.75" customHeight="1">
      <c r="A46" s="68" t="str">
        <f>IF(A31="","","    To "&amp;A31)</f>
        <v>    To Havasu / Parker evaporation and ET</v>
      </c>
      <c r="B46" s="235" t="s">
        <v>265</v>
      </c>
      <c r="C46" s="346" t="str">
        <f t="shared" ref="C46:L46" si="16">IF(OR(C$28="",$A46=""),"",MIN(C31,C39-C45))</f>
        <v>#REF!</v>
      </c>
      <c r="D46" s="236" t="str">
        <f t="shared" si="16"/>
        <v>#REF!</v>
      </c>
      <c r="E46" s="236" t="str">
        <f t="shared" si="16"/>
        <v>#REF!</v>
      </c>
      <c r="F46" s="236" t="str">
        <f t="shared" si="16"/>
        <v>#REF!</v>
      </c>
      <c r="G46" s="236" t="str">
        <f t="shared" si="16"/>
        <v>#REF!</v>
      </c>
      <c r="H46" s="236" t="str">
        <f t="shared" si="16"/>
        <v>#REF!</v>
      </c>
      <c r="I46" s="236" t="str">
        <f t="shared" si="16"/>
        <v>#REF!</v>
      </c>
      <c r="J46" s="236" t="str">
        <f t="shared" si="16"/>
        <v>#REF!</v>
      </c>
      <c r="K46" s="236" t="str">
        <f t="shared" si="16"/>
        <v>#REF!</v>
      </c>
      <c r="L46" s="236" t="str">
        <f t="shared" si="16"/>
        <v>#REF!</v>
      </c>
      <c r="M46" s="92">
        <f>Master!C60</f>
        <v>0.6</v>
      </c>
      <c r="N46" s="228"/>
    </row>
    <row r="47" ht="15.75" customHeight="1">
      <c r="B47" s="150"/>
      <c r="C47" s="227"/>
      <c r="D47" s="227"/>
      <c r="E47" s="227"/>
      <c r="F47" s="91"/>
      <c r="G47" s="92"/>
      <c r="N47" s="44"/>
    </row>
    <row r="48" ht="15.75" customHeight="1">
      <c r="B48" s="68" t="s">
        <v>391</v>
      </c>
      <c r="C48" s="342" t="str">
        <f t="shared" ref="C48:L48" si="17">SUM(C40:C46)</f>
        <v>#REF!</v>
      </c>
      <c r="D48" s="342" t="str">
        <f t="shared" si="17"/>
        <v>#REF!</v>
      </c>
      <c r="E48" s="342" t="str">
        <f t="shared" si="17"/>
        <v>#REF!</v>
      </c>
      <c r="F48" s="342" t="str">
        <f t="shared" si="17"/>
        <v>#REF!</v>
      </c>
      <c r="G48" s="342" t="str">
        <f t="shared" si="17"/>
        <v>#REF!</v>
      </c>
      <c r="H48" s="342" t="str">
        <f t="shared" si="17"/>
        <v>#REF!</v>
      </c>
      <c r="I48" s="342" t="str">
        <f t="shared" si="17"/>
        <v>#REF!</v>
      </c>
      <c r="J48" s="342" t="str">
        <f t="shared" si="17"/>
        <v>#REF!</v>
      </c>
      <c r="K48" s="342" t="str">
        <f t="shared" si="17"/>
        <v>#REF!</v>
      </c>
      <c r="L48" s="342" t="str">
        <f t="shared" si="17"/>
        <v>#REF!</v>
      </c>
      <c r="N48" s="8"/>
    </row>
    <row r="49" ht="15.75" customHeight="1">
      <c r="C49" s="8"/>
      <c r="D49" s="347"/>
      <c r="N49" s="8"/>
    </row>
    <row r="50" ht="15.75" customHeight="1">
      <c r="B50" s="8"/>
      <c r="C50" s="8"/>
      <c r="H50" s="91" t="str">
        <f>SUM(I42:I46)</f>
        <v>#REF!</v>
      </c>
      <c r="N50" s="8"/>
    </row>
    <row r="51" ht="15.75" customHeight="1">
      <c r="C51" s="8"/>
      <c r="N51" s="8"/>
    </row>
    <row r="52" ht="15.75" customHeight="1">
      <c r="C52" s="8"/>
      <c r="N52" s="8"/>
    </row>
    <row r="53" ht="15.75" customHeight="1">
      <c r="A53" s="68" t="s">
        <v>392</v>
      </c>
      <c r="B53" s="68">
        <v>8.2</v>
      </c>
      <c r="C53" s="8"/>
      <c r="N53" s="8"/>
    </row>
    <row r="54" ht="15.75" customHeight="1">
      <c r="A54" s="68" t="s">
        <v>393</v>
      </c>
      <c r="B54" s="68">
        <v>1.2</v>
      </c>
      <c r="C54" s="8"/>
      <c r="N54" s="8"/>
    </row>
    <row r="55" ht="15.75" customHeight="1">
      <c r="A55" s="68" t="s">
        <v>394</v>
      </c>
      <c r="B55" s="68">
        <v>0.95</v>
      </c>
      <c r="C55" s="8"/>
      <c r="N55" s="8"/>
    </row>
    <row r="56" ht="15.75" customHeight="1">
      <c r="A56" s="68" t="s">
        <v>395</v>
      </c>
      <c r="B56" s="68">
        <f>1.5/2</f>
        <v>0.75</v>
      </c>
      <c r="C56" s="8"/>
      <c r="N56" s="8"/>
    </row>
    <row r="57" ht="15.75" customHeight="1">
      <c r="A57" s="68" t="s">
        <v>396</v>
      </c>
      <c r="B57" s="68">
        <f>B53-SUM(B54:B56)</f>
        <v>5.3</v>
      </c>
      <c r="C57" s="8"/>
      <c r="N57" s="8"/>
    </row>
    <row r="58" ht="15.75" customHeight="1">
      <c r="B58" s="348"/>
      <c r="C58" s="8"/>
      <c r="N58" s="8"/>
    </row>
    <row r="59" ht="15.75" customHeight="1">
      <c r="C59" s="8"/>
      <c r="N59" s="8"/>
    </row>
    <row r="60" ht="15.75" customHeight="1">
      <c r="C60" s="8"/>
      <c r="N60" s="8"/>
    </row>
    <row r="61" ht="15.75" customHeight="1">
      <c r="C61" s="8"/>
      <c r="N61" s="8"/>
    </row>
    <row r="62" ht="15.75" customHeight="1">
      <c r="C62" s="8"/>
      <c r="N62" s="8"/>
    </row>
    <row r="63" ht="15.75" customHeight="1">
      <c r="C63" s="8"/>
      <c r="N63" s="8"/>
    </row>
    <row r="64" ht="15.75" customHeight="1">
      <c r="C64" s="8"/>
      <c r="N64" s="8"/>
    </row>
    <row r="65" ht="15.75" customHeight="1">
      <c r="C65" s="8"/>
      <c r="N65" s="8"/>
    </row>
    <row r="66" ht="15.75" customHeight="1">
      <c r="C66" s="8"/>
      <c r="N66" s="8"/>
    </row>
    <row r="67" ht="15.75" customHeight="1">
      <c r="C67" s="8"/>
      <c r="N67" s="8"/>
    </row>
    <row r="68" ht="15.75" customHeight="1">
      <c r="C68" s="8"/>
      <c r="N68" s="8"/>
    </row>
    <row r="69" ht="15.75" customHeight="1">
      <c r="C69" s="8"/>
      <c r="N69" s="8"/>
    </row>
    <row r="70" ht="15.75" customHeight="1">
      <c r="C70" s="8"/>
      <c r="N70" s="8"/>
    </row>
    <row r="71" ht="15.75" customHeight="1">
      <c r="C71" s="8"/>
      <c r="N71" s="8"/>
    </row>
    <row r="72" ht="15.75" customHeight="1">
      <c r="C72" s="8"/>
      <c r="N72" s="8"/>
    </row>
    <row r="73" ht="15.75" customHeight="1">
      <c r="C73" s="8"/>
      <c r="N73" s="8"/>
    </row>
    <row r="74" ht="15.75" customHeight="1">
      <c r="C74" s="8"/>
      <c r="N74" s="8"/>
    </row>
    <row r="75" ht="15.75" customHeight="1">
      <c r="C75" s="8"/>
      <c r="N75" s="8"/>
    </row>
    <row r="76" ht="15.75" customHeight="1">
      <c r="C76" s="8"/>
      <c r="N76" s="8"/>
    </row>
    <row r="77" ht="15.75" customHeight="1">
      <c r="C77" s="8"/>
      <c r="N77" s="8"/>
    </row>
    <row r="78" ht="15.75" customHeight="1">
      <c r="C78" s="8"/>
      <c r="N78" s="8"/>
    </row>
    <row r="79" ht="15.75" customHeight="1">
      <c r="C79" s="8"/>
      <c r="N79" s="8"/>
    </row>
    <row r="80" ht="15.75" customHeight="1">
      <c r="C80" s="8"/>
      <c r="N80" s="8"/>
    </row>
    <row r="81" ht="15.75" customHeight="1">
      <c r="C81" s="8"/>
      <c r="N81" s="8"/>
    </row>
    <row r="82" ht="15.75" customHeight="1">
      <c r="C82" s="8"/>
      <c r="N82" s="8"/>
    </row>
    <row r="83" ht="15.75" customHeight="1">
      <c r="C83" s="8"/>
      <c r="N83" s="8"/>
    </row>
    <row r="84" ht="15.75" customHeight="1">
      <c r="C84" s="8"/>
      <c r="N84" s="8"/>
    </row>
    <row r="85" ht="15.75" customHeight="1">
      <c r="C85" s="8"/>
      <c r="N85" s="8"/>
    </row>
    <row r="86" ht="15.75" customHeight="1">
      <c r="C86" s="8"/>
      <c r="N86" s="8"/>
    </row>
    <row r="87" ht="15.75" customHeight="1">
      <c r="C87" s="8"/>
      <c r="N87" s="8"/>
    </row>
    <row r="88" ht="15.75" customHeight="1">
      <c r="C88" s="8"/>
      <c r="N88" s="8"/>
    </row>
    <row r="89" ht="15.75" customHeight="1">
      <c r="C89" s="8"/>
      <c r="N89" s="8"/>
    </row>
    <row r="90" ht="15.75" customHeight="1">
      <c r="C90" s="8"/>
      <c r="N90" s="8"/>
    </row>
    <row r="91" ht="15.75" customHeight="1">
      <c r="C91" s="8"/>
      <c r="N91" s="8"/>
    </row>
    <row r="92" ht="15.75" customHeight="1">
      <c r="C92" s="8"/>
      <c r="N92" s="8"/>
    </row>
    <row r="93" ht="15.75" customHeight="1">
      <c r="C93" s="8"/>
      <c r="N93" s="8"/>
    </row>
    <row r="94" ht="15.75" customHeight="1">
      <c r="C94" s="8"/>
      <c r="N94" s="8"/>
    </row>
    <row r="95" ht="15.75" customHeight="1">
      <c r="C95" s="8"/>
      <c r="N95" s="8"/>
    </row>
    <row r="96" ht="15.75" customHeight="1">
      <c r="C96" s="8"/>
      <c r="N96" s="8"/>
    </row>
    <row r="97" ht="15.75" customHeight="1">
      <c r="C97" s="8"/>
      <c r="N97" s="8"/>
    </row>
    <row r="98" ht="15.75" customHeight="1">
      <c r="C98" s="8"/>
      <c r="N98" s="8"/>
    </row>
    <row r="99" ht="15.75" customHeight="1">
      <c r="C99" s="8"/>
      <c r="N99" s="8"/>
    </row>
    <row r="100" ht="15.75" customHeight="1">
      <c r="C100" s="8"/>
      <c r="N100" s="8"/>
    </row>
    <row r="101" ht="15.75" customHeight="1">
      <c r="C101" s="8"/>
      <c r="N101" s="8"/>
    </row>
    <row r="102" ht="15.75" customHeight="1">
      <c r="C102" s="8"/>
      <c r="N102" s="8"/>
    </row>
    <row r="103" ht="15.75" customHeight="1">
      <c r="C103" s="8"/>
      <c r="N103" s="8"/>
    </row>
    <row r="104" ht="15.75" customHeight="1">
      <c r="C104" s="8"/>
      <c r="N104" s="8"/>
    </row>
    <row r="105" ht="15.75" customHeight="1">
      <c r="C105" s="8"/>
      <c r="N105" s="8"/>
    </row>
    <row r="106" ht="15.75" customHeight="1">
      <c r="C106" s="8"/>
      <c r="N106" s="8"/>
    </row>
    <row r="107" ht="15.75" customHeight="1">
      <c r="C107" s="8"/>
      <c r="N107" s="8"/>
    </row>
    <row r="108" ht="15.75" customHeight="1">
      <c r="C108" s="8"/>
      <c r="N108" s="8"/>
    </row>
    <row r="109" ht="15.75" customHeight="1">
      <c r="C109" s="8"/>
      <c r="N109" s="8"/>
    </row>
    <row r="110" ht="15.75" customHeight="1">
      <c r="C110" s="8"/>
      <c r="N110" s="8"/>
    </row>
    <row r="111" ht="15.75" customHeight="1">
      <c r="C111" s="8"/>
      <c r="N111" s="8"/>
    </row>
    <row r="112" ht="15.75" customHeight="1">
      <c r="C112" s="8"/>
      <c r="N112" s="8"/>
    </row>
    <row r="113" ht="15.75" customHeight="1">
      <c r="C113" s="8"/>
      <c r="N113" s="8"/>
    </row>
    <row r="114" ht="15.75" customHeight="1">
      <c r="C114" s="8"/>
      <c r="N114" s="8"/>
    </row>
    <row r="115" ht="15.75" customHeight="1">
      <c r="C115" s="8"/>
      <c r="N115" s="8"/>
    </row>
    <row r="116" ht="15.75" customHeight="1">
      <c r="C116" s="8"/>
      <c r="N116" s="8"/>
    </row>
    <row r="117" ht="15.75" customHeight="1">
      <c r="C117" s="8"/>
      <c r="N117" s="8"/>
    </row>
    <row r="118" ht="15.75" customHeight="1">
      <c r="C118" s="8"/>
      <c r="N118" s="8"/>
    </row>
    <row r="119" ht="15.75" customHeight="1">
      <c r="C119" s="8"/>
      <c r="N119" s="8"/>
    </row>
    <row r="120" ht="15.75" customHeight="1">
      <c r="C120" s="8"/>
      <c r="N120" s="8"/>
    </row>
    <row r="121" ht="15.75" customHeight="1">
      <c r="C121" s="8"/>
      <c r="N121" s="8"/>
    </row>
    <row r="122" ht="15.75" customHeight="1">
      <c r="C122" s="8"/>
      <c r="N122" s="8"/>
    </row>
    <row r="123" ht="15.75" customHeight="1">
      <c r="C123" s="8"/>
      <c r="N123" s="8"/>
    </row>
    <row r="124" ht="15.75" customHeight="1">
      <c r="C124" s="8"/>
      <c r="N124" s="8"/>
    </row>
    <row r="125" ht="15.75" customHeight="1">
      <c r="C125" s="8"/>
      <c r="N125" s="8"/>
    </row>
    <row r="126" ht="15.75" customHeight="1">
      <c r="C126" s="8"/>
      <c r="N126" s="8"/>
    </row>
    <row r="127" ht="15.75" customHeight="1">
      <c r="C127" s="8"/>
      <c r="N127" s="8"/>
    </row>
    <row r="128" ht="15.75" customHeight="1">
      <c r="C128" s="8"/>
      <c r="N128" s="8"/>
    </row>
    <row r="129" ht="15.75" customHeight="1">
      <c r="C129" s="8"/>
      <c r="N129" s="8"/>
    </row>
    <row r="130" ht="15.75" customHeight="1">
      <c r="C130" s="8"/>
      <c r="N130" s="8"/>
    </row>
    <row r="131" ht="15.75" customHeight="1">
      <c r="C131" s="8"/>
      <c r="N131" s="8"/>
    </row>
    <row r="132" ht="15.75" customHeight="1">
      <c r="C132" s="8"/>
      <c r="N132" s="8"/>
    </row>
    <row r="133" ht="15.75" customHeight="1">
      <c r="C133" s="8"/>
      <c r="N133" s="8"/>
    </row>
    <row r="134" ht="15.75" customHeight="1">
      <c r="C134" s="8"/>
      <c r="N134" s="8"/>
    </row>
    <row r="135" ht="15.75" customHeight="1">
      <c r="C135" s="8"/>
      <c r="N135" s="8"/>
    </row>
    <row r="136" ht="15.75" customHeight="1">
      <c r="C136" s="8"/>
      <c r="N136" s="8"/>
    </row>
    <row r="137" ht="15.75" customHeight="1">
      <c r="C137" s="8"/>
      <c r="N137" s="8"/>
    </row>
    <row r="138" ht="15.75" customHeight="1">
      <c r="C138" s="8"/>
      <c r="N138" s="8"/>
    </row>
    <row r="139" ht="15.75" customHeight="1">
      <c r="C139" s="8"/>
      <c r="N139" s="8"/>
    </row>
    <row r="140" ht="15.75" customHeight="1">
      <c r="C140" s="8"/>
      <c r="N140" s="8"/>
    </row>
    <row r="141" ht="15.75" customHeight="1">
      <c r="C141" s="8"/>
      <c r="N141" s="8"/>
    </row>
    <row r="142" ht="15.75" customHeight="1">
      <c r="C142" s="8"/>
      <c r="N142" s="8"/>
    </row>
    <row r="143" ht="15.75" customHeight="1">
      <c r="C143" s="8"/>
      <c r="N143" s="8"/>
    </row>
    <row r="144" ht="15.75" customHeight="1">
      <c r="C144" s="8"/>
      <c r="N144" s="8"/>
    </row>
    <row r="145" ht="15.75" customHeight="1">
      <c r="C145" s="8"/>
      <c r="N145" s="8"/>
    </row>
    <row r="146" ht="15.75" customHeight="1">
      <c r="C146" s="8"/>
      <c r="N146" s="8"/>
    </row>
    <row r="147" ht="15.75" customHeight="1">
      <c r="C147" s="8"/>
      <c r="N147" s="8"/>
    </row>
    <row r="148" ht="15.75" customHeight="1">
      <c r="C148" s="8"/>
      <c r="N148" s="8"/>
    </row>
    <row r="149" ht="15.75" customHeight="1">
      <c r="C149" s="8"/>
      <c r="N149" s="8"/>
    </row>
    <row r="150" ht="15.75" customHeight="1">
      <c r="C150" s="8"/>
      <c r="N150" s="8"/>
    </row>
    <row r="151" ht="15.75" customHeight="1">
      <c r="C151" s="8"/>
      <c r="N151" s="8"/>
    </row>
    <row r="152" ht="15.75" customHeight="1">
      <c r="C152" s="8"/>
      <c r="N152" s="8"/>
    </row>
    <row r="153" ht="15.75" customHeight="1">
      <c r="C153" s="8"/>
      <c r="N153" s="8"/>
    </row>
    <row r="154" ht="15.75" customHeight="1">
      <c r="C154" s="8"/>
      <c r="N154" s="8"/>
    </row>
    <row r="155" ht="15.75" customHeight="1">
      <c r="C155" s="8"/>
      <c r="N155" s="8"/>
    </row>
    <row r="156" ht="15.75" customHeight="1">
      <c r="C156" s="8"/>
      <c r="N156" s="8"/>
    </row>
    <row r="157" ht="15.75" customHeight="1">
      <c r="C157" s="8"/>
      <c r="N157" s="8"/>
    </row>
    <row r="158" ht="15.75" customHeight="1">
      <c r="C158" s="8"/>
      <c r="N158" s="8"/>
    </row>
    <row r="159" ht="15.75" customHeight="1">
      <c r="C159" s="8"/>
      <c r="N159" s="8"/>
    </row>
    <row r="160" ht="15.75" customHeight="1">
      <c r="C160" s="8"/>
      <c r="N160" s="8"/>
    </row>
    <row r="161" ht="15.75" customHeight="1">
      <c r="C161" s="8"/>
      <c r="N161" s="8"/>
    </row>
    <row r="162" ht="15.75" customHeight="1">
      <c r="C162" s="8"/>
      <c r="N162" s="8"/>
    </row>
    <row r="163" ht="15.75" customHeight="1">
      <c r="C163" s="8"/>
      <c r="N163" s="8"/>
    </row>
    <row r="164" ht="15.75" customHeight="1">
      <c r="C164" s="8"/>
      <c r="N164" s="8"/>
    </row>
    <row r="165" ht="15.75" customHeight="1">
      <c r="C165" s="8"/>
      <c r="N165" s="8"/>
    </row>
    <row r="166" ht="15.75" customHeight="1">
      <c r="C166" s="8"/>
      <c r="N166" s="8"/>
    </row>
    <row r="167" ht="15.75" customHeight="1">
      <c r="C167" s="8"/>
      <c r="N167" s="8"/>
    </row>
    <row r="168" ht="15.75" customHeight="1">
      <c r="C168" s="8"/>
      <c r="N168" s="8"/>
    </row>
    <row r="169" ht="15.75" customHeight="1">
      <c r="C169" s="8"/>
      <c r="N169" s="8"/>
    </row>
    <row r="170" ht="15.75" customHeight="1">
      <c r="C170" s="8"/>
      <c r="N170" s="8"/>
    </row>
    <row r="171" ht="15.75" customHeight="1">
      <c r="C171" s="8"/>
      <c r="N171" s="8"/>
    </row>
    <row r="172" ht="15.75" customHeight="1">
      <c r="C172" s="8"/>
      <c r="N172" s="8"/>
    </row>
    <row r="173" ht="15.75" customHeight="1">
      <c r="C173" s="8"/>
      <c r="N173" s="8"/>
    </row>
    <row r="174" ht="15.75" customHeight="1">
      <c r="C174" s="8"/>
      <c r="N174" s="8"/>
    </row>
    <row r="175" ht="15.75" customHeight="1">
      <c r="C175" s="8"/>
      <c r="N175" s="8"/>
    </row>
    <row r="176" ht="15.75" customHeight="1">
      <c r="C176" s="8"/>
      <c r="N176" s="8"/>
    </row>
    <row r="177" ht="15.75" customHeight="1">
      <c r="C177" s="8"/>
      <c r="N177" s="8"/>
    </row>
    <row r="178" ht="15.75" customHeight="1">
      <c r="C178" s="8"/>
      <c r="N178" s="8"/>
    </row>
    <row r="179" ht="15.75" customHeight="1">
      <c r="C179" s="8"/>
      <c r="N179" s="8"/>
    </row>
    <row r="180" ht="15.75" customHeight="1">
      <c r="C180" s="8"/>
      <c r="N180" s="8"/>
    </row>
    <row r="181" ht="15.75" customHeight="1">
      <c r="C181" s="8"/>
      <c r="N181" s="8"/>
    </row>
    <row r="182" ht="15.75" customHeight="1">
      <c r="C182" s="8"/>
      <c r="N182" s="8"/>
    </row>
    <row r="183" ht="15.75" customHeight="1">
      <c r="C183" s="8"/>
      <c r="N183" s="8"/>
    </row>
    <row r="184" ht="15.75" customHeight="1">
      <c r="C184" s="8"/>
      <c r="N184" s="8"/>
    </row>
    <row r="185" ht="15.75" customHeight="1">
      <c r="C185" s="8"/>
      <c r="N185" s="8"/>
    </row>
    <row r="186" ht="15.75" customHeight="1">
      <c r="C186" s="8"/>
      <c r="N186" s="8"/>
    </row>
    <row r="187" ht="15.75" customHeight="1">
      <c r="C187" s="8"/>
      <c r="N187" s="8"/>
    </row>
    <row r="188" ht="15.75" customHeight="1">
      <c r="C188" s="8"/>
      <c r="N188" s="8"/>
    </row>
    <row r="189" ht="15.75" customHeight="1">
      <c r="C189" s="8"/>
      <c r="N189" s="8"/>
    </row>
    <row r="190" ht="15.75" customHeight="1">
      <c r="C190" s="8"/>
      <c r="N190" s="8"/>
    </row>
    <row r="191" ht="15.75" customHeight="1">
      <c r="C191" s="8"/>
      <c r="N191" s="8"/>
    </row>
    <row r="192" ht="15.75" customHeight="1">
      <c r="C192" s="8"/>
      <c r="N192" s="8"/>
    </row>
    <row r="193" ht="15.75" customHeight="1">
      <c r="C193" s="8"/>
      <c r="N193" s="8"/>
    </row>
    <row r="194" ht="15.75" customHeight="1">
      <c r="C194" s="8"/>
      <c r="N194" s="8"/>
    </row>
    <row r="195" ht="15.75" customHeight="1">
      <c r="C195" s="8"/>
      <c r="N195" s="8"/>
    </row>
    <row r="196" ht="15.75" customHeight="1">
      <c r="C196" s="8"/>
      <c r="N196" s="8"/>
    </row>
    <row r="197" ht="15.75" customHeight="1">
      <c r="C197" s="8"/>
      <c r="N197" s="8"/>
    </row>
    <row r="198" ht="15.75" customHeight="1">
      <c r="C198" s="8"/>
      <c r="N198" s="8"/>
    </row>
    <row r="199" ht="15.75" customHeight="1">
      <c r="C199" s="8"/>
      <c r="N199" s="8"/>
    </row>
    <row r="200" ht="15.75" customHeight="1">
      <c r="C200" s="8"/>
      <c r="N200" s="8"/>
    </row>
    <row r="201" ht="15.75" customHeight="1">
      <c r="C201" s="8"/>
      <c r="N201" s="8"/>
    </row>
    <row r="202" ht="15.75" customHeight="1">
      <c r="C202" s="8"/>
      <c r="N202" s="8"/>
    </row>
    <row r="203" ht="15.75" customHeight="1">
      <c r="C203" s="8"/>
      <c r="N203" s="8"/>
    </row>
    <row r="204" ht="15.75" customHeight="1">
      <c r="C204" s="8"/>
      <c r="N204" s="8"/>
    </row>
    <row r="205" ht="15.75" customHeight="1">
      <c r="C205" s="8"/>
      <c r="N205" s="8"/>
    </row>
    <row r="206" ht="15.75" customHeight="1">
      <c r="C206" s="8"/>
      <c r="N206" s="8"/>
    </row>
    <row r="207" ht="15.75" customHeight="1">
      <c r="C207" s="8"/>
      <c r="N207" s="8"/>
    </row>
    <row r="208" ht="15.75" customHeight="1">
      <c r="C208" s="8"/>
      <c r="N208" s="8"/>
    </row>
    <row r="209" ht="15.75" customHeight="1">
      <c r="C209" s="8"/>
      <c r="N209" s="8"/>
    </row>
    <row r="210" ht="15.75" customHeight="1">
      <c r="C210" s="8"/>
      <c r="N210" s="8"/>
    </row>
    <row r="211" ht="15.75" customHeight="1">
      <c r="C211" s="8"/>
      <c r="N211" s="8"/>
    </row>
    <row r="212" ht="15.75" customHeight="1">
      <c r="C212" s="8"/>
      <c r="N212" s="8"/>
    </row>
    <row r="213" ht="15.75" customHeight="1">
      <c r="C213" s="8"/>
      <c r="N213" s="8"/>
    </row>
    <row r="214" ht="15.75" customHeight="1">
      <c r="C214" s="8"/>
      <c r="N214" s="8"/>
    </row>
    <row r="215" ht="15.75" customHeight="1">
      <c r="C215" s="8"/>
      <c r="N215" s="8"/>
    </row>
    <row r="216" ht="15.75" customHeight="1">
      <c r="C216" s="8"/>
      <c r="N216" s="8"/>
    </row>
    <row r="217" ht="15.75" customHeight="1">
      <c r="C217" s="8"/>
      <c r="N217" s="8"/>
    </row>
    <row r="218" ht="15.75" customHeight="1">
      <c r="C218" s="8"/>
      <c r="N218" s="8"/>
    </row>
    <row r="219" ht="15.75" customHeight="1">
      <c r="C219" s="8"/>
      <c r="N219" s="8"/>
    </row>
    <row r="220" ht="15.75" customHeight="1">
      <c r="C220" s="8"/>
      <c r="N220" s="8"/>
    </row>
    <row r="221" ht="15.75" customHeight="1">
      <c r="C221" s="8"/>
      <c r="N221" s="8"/>
    </row>
    <row r="222" ht="15.75" customHeight="1">
      <c r="C222" s="8"/>
      <c r="N222" s="8"/>
    </row>
    <row r="223" ht="15.75" customHeight="1">
      <c r="C223" s="8"/>
      <c r="N223" s="8"/>
    </row>
    <row r="224" ht="15.75" customHeight="1">
      <c r="C224" s="8"/>
      <c r="N224" s="8"/>
    </row>
    <row r="225" ht="15.75" customHeight="1">
      <c r="C225" s="8"/>
      <c r="N225" s="8"/>
    </row>
    <row r="226" ht="15.75" customHeight="1">
      <c r="C226" s="8"/>
      <c r="N226" s="8"/>
    </row>
    <row r="227" ht="15.75" customHeight="1">
      <c r="C227" s="8"/>
      <c r="N227" s="8"/>
    </row>
    <row r="228" ht="15.75" customHeight="1">
      <c r="C228" s="8"/>
      <c r="N228" s="8"/>
    </row>
    <row r="229" ht="15.75" customHeight="1">
      <c r="C229" s="8"/>
      <c r="N229" s="8"/>
    </row>
    <row r="230" ht="15.75" customHeight="1">
      <c r="C230" s="8"/>
      <c r="N230" s="8"/>
    </row>
    <row r="231" ht="15.75" customHeight="1">
      <c r="C231" s="8"/>
      <c r="N231" s="8"/>
    </row>
    <row r="232" ht="15.75" customHeight="1">
      <c r="C232" s="8"/>
      <c r="N232" s="8"/>
    </row>
    <row r="233" ht="15.75" customHeight="1">
      <c r="C233" s="8"/>
      <c r="N233" s="8"/>
    </row>
    <row r="234" ht="15.75" customHeight="1">
      <c r="C234" s="8"/>
      <c r="N234" s="8"/>
    </row>
    <row r="235" ht="15.75" customHeight="1">
      <c r="C235" s="8"/>
      <c r="N235" s="8"/>
    </row>
    <row r="236" ht="15.75" customHeight="1">
      <c r="C236" s="8"/>
      <c r="N236" s="8"/>
    </row>
    <row r="237" ht="15.75" customHeight="1">
      <c r="C237" s="8"/>
      <c r="N237" s="8"/>
    </row>
    <row r="238" ht="15.75" customHeight="1">
      <c r="C238" s="8"/>
      <c r="N238" s="8"/>
    </row>
    <row r="239" ht="15.75" customHeight="1">
      <c r="C239" s="8"/>
      <c r="N239" s="8"/>
    </row>
    <row r="240" ht="15.75" customHeight="1">
      <c r="C240" s="8"/>
      <c r="N240" s="8"/>
    </row>
    <row r="241" ht="15.75" customHeight="1">
      <c r="C241" s="8"/>
      <c r="N241" s="8"/>
    </row>
    <row r="242" ht="15.75" customHeight="1">
      <c r="C242" s="8"/>
      <c r="N242" s="8"/>
    </row>
    <row r="243" ht="15.75" customHeight="1">
      <c r="C243" s="8"/>
      <c r="N243" s="8"/>
    </row>
    <row r="244" ht="15.75" customHeight="1">
      <c r="C244" s="8"/>
      <c r="N244" s="8"/>
    </row>
    <row r="245" ht="15.75" customHeight="1">
      <c r="C245" s="8"/>
      <c r="N245" s="8"/>
    </row>
    <row r="246" ht="15.75" customHeight="1">
      <c r="C246" s="8"/>
      <c r="N246" s="8"/>
    </row>
    <row r="247" ht="15.75" customHeight="1">
      <c r="C247" s="8"/>
      <c r="N247" s="8"/>
    </row>
    <row r="248" ht="15.75" customHeight="1">
      <c r="C248" s="8"/>
      <c r="N248" s="8"/>
    </row>
    <row r="249" ht="15.75" customHeight="1">
      <c r="C249" s="8"/>
      <c r="N249" s="8"/>
    </row>
    <row r="250" ht="15.75" customHeight="1">
      <c r="C250" s="8"/>
      <c r="N250" s="8"/>
    </row>
    <row r="251" ht="15.75" customHeight="1">
      <c r="C251" s="8"/>
      <c r="N251" s="8"/>
    </row>
    <row r="252" ht="15.75" customHeight="1">
      <c r="C252" s="8"/>
      <c r="N252" s="8"/>
    </row>
    <row r="253" ht="15.75" customHeight="1">
      <c r="C253" s="8"/>
      <c r="N253" s="8"/>
    </row>
    <row r="254" ht="15.75" customHeight="1">
      <c r="C254" s="8"/>
      <c r="N254" s="8"/>
    </row>
    <row r="255" ht="15.75" customHeight="1">
      <c r="C255" s="8"/>
      <c r="N255" s="8"/>
    </row>
    <row r="256" ht="15.75" customHeight="1">
      <c r="C256" s="8"/>
      <c r="N256" s="8"/>
    </row>
    <row r="257" ht="15.75" customHeight="1">
      <c r="C257" s="8"/>
      <c r="N257" s="8"/>
    </row>
    <row r="258" ht="15.75" customHeight="1">
      <c r="C258" s="8"/>
      <c r="N258" s="8"/>
    </row>
    <row r="259" ht="15.75" customHeight="1">
      <c r="C259" s="8"/>
      <c r="N259" s="8"/>
    </row>
    <row r="260" ht="15.75" customHeight="1">
      <c r="C260" s="8"/>
      <c r="N260" s="8"/>
    </row>
    <row r="261" ht="15.75" customHeight="1">
      <c r="C261" s="8"/>
      <c r="N261" s="8"/>
    </row>
    <row r="262" ht="15.75" customHeight="1">
      <c r="C262" s="8"/>
      <c r="N262" s="8"/>
    </row>
    <row r="263" ht="15.75" customHeight="1">
      <c r="C263" s="8"/>
      <c r="N263" s="8"/>
    </row>
    <row r="264" ht="15.75" customHeight="1">
      <c r="C264" s="8"/>
      <c r="N264" s="8"/>
    </row>
    <row r="265" ht="15.75" customHeight="1">
      <c r="C265" s="8"/>
      <c r="N265" s="8"/>
    </row>
    <row r="266" ht="15.75" customHeight="1">
      <c r="C266" s="8"/>
      <c r="N266" s="8"/>
    </row>
    <row r="267" ht="15.75" customHeight="1">
      <c r="C267" s="8"/>
      <c r="N267" s="8"/>
    </row>
    <row r="268" ht="15.75" customHeight="1">
      <c r="C268" s="8"/>
      <c r="N268" s="8"/>
    </row>
    <row r="269" ht="15.75" customHeight="1">
      <c r="C269" s="8"/>
      <c r="N269" s="8"/>
    </row>
    <row r="270" ht="15.75" customHeight="1">
      <c r="C270" s="8"/>
      <c r="N270" s="8"/>
    </row>
    <row r="271" ht="15.75" customHeight="1">
      <c r="C271" s="8"/>
      <c r="N271" s="8"/>
    </row>
    <row r="272" ht="15.75" customHeight="1">
      <c r="C272" s="8"/>
      <c r="N272" s="8"/>
    </row>
    <row r="273" ht="15.75" customHeight="1">
      <c r="C273" s="8"/>
      <c r="N273" s="8"/>
    </row>
    <row r="274" ht="15.75" customHeight="1">
      <c r="C274" s="8"/>
      <c r="N274" s="8"/>
    </row>
    <row r="275" ht="15.75" customHeight="1">
      <c r="C275" s="8"/>
      <c r="N275" s="8"/>
    </row>
    <row r="276" ht="15.75" customHeight="1">
      <c r="C276" s="8"/>
      <c r="N276" s="8"/>
    </row>
    <row r="277" ht="15.75" customHeight="1">
      <c r="C277" s="8"/>
      <c r="N277" s="8"/>
    </row>
    <row r="278" ht="15.75" customHeight="1">
      <c r="C278" s="8"/>
      <c r="N278" s="8"/>
    </row>
    <row r="279" ht="15.75" customHeight="1">
      <c r="C279" s="8"/>
      <c r="N279" s="8"/>
    </row>
    <row r="280" ht="15.75" customHeight="1">
      <c r="C280" s="8"/>
      <c r="N280" s="8"/>
    </row>
    <row r="281" ht="15.75" customHeight="1">
      <c r="C281" s="8"/>
      <c r="N281" s="8"/>
    </row>
    <row r="282" ht="15.75" customHeight="1">
      <c r="C282" s="8"/>
      <c r="N282" s="8"/>
    </row>
    <row r="283" ht="15.75" customHeight="1">
      <c r="C283" s="8"/>
      <c r="N283" s="8"/>
    </row>
    <row r="284" ht="15.75" customHeight="1">
      <c r="C284" s="8"/>
      <c r="N284" s="8"/>
    </row>
    <row r="285" ht="15.75" customHeight="1">
      <c r="C285" s="8"/>
      <c r="N285" s="8"/>
    </row>
    <row r="286" ht="15.75" customHeight="1">
      <c r="C286" s="8"/>
      <c r="N286" s="8"/>
    </row>
    <row r="287" ht="15.75" customHeight="1">
      <c r="C287" s="8"/>
      <c r="N287" s="8"/>
    </row>
    <row r="288" ht="15.75" customHeight="1">
      <c r="C288" s="8"/>
      <c r="N288" s="8"/>
    </row>
    <row r="289" ht="15.75" customHeight="1">
      <c r="C289" s="8"/>
      <c r="N289" s="8"/>
    </row>
    <row r="290" ht="15.75" customHeight="1">
      <c r="C290" s="8"/>
      <c r="N290" s="8"/>
    </row>
    <row r="291" ht="15.75" customHeight="1">
      <c r="C291" s="8"/>
      <c r="N291" s="8"/>
    </row>
    <row r="292" ht="15.75" customHeight="1">
      <c r="C292" s="8"/>
      <c r="N292" s="8"/>
    </row>
    <row r="293" ht="15.75" customHeight="1">
      <c r="C293" s="8"/>
      <c r="N293" s="8"/>
    </row>
    <row r="294" ht="15.75" customHeight="1">
      <c r="C294" s="8"/>
      <c r="N294" s="8"/>
    </row>
    <row r="295" ht="15.75" customHeight="1">
      <c r="C295" s="8"/>
      <c r="N295" s="8"/>
    </row>
    <row r="296" ht="15.75" customHeight="1">
      <c r="C296" s="8"/>
      <c r="N296" s="8"/>
    </row>
    <row r="297" ht="15.75" customHeight="1">
      <c r="C297" s="8"/>
      <c r="N297" s="8"/>
    </row>
    <row r="298" ht="15.75" customHeight="1">
      <c r="C298" s="8"/>
      <c r="N298" s="8"/>
    </row>
    <row r="299" ht="15.75" customHeight="1">
      <c r="C299" s="8"/>
      <c r="N299" s="8"/>
    </row>
    <row r="300" ht="15.75" customHeight="1">
      <c r="C300" s="8"/>
      <c r="N300" s="8"/>
    </row>
    <row r="301" ht="15.75" customHeight="1">
      <c r="C301" s="8"/>
      <c r="N301" s="8"/>
    </row>
    <row r="302" ht="15.75" customHeight="1">
      <c r="C302" s="8"/>
      <c r="N302" s="8"/>
    </row>
    <row r="303" ht="15.75" customHeight="1">
      <c r="C303" s="8"/>
      <c r="N303" s="8"/>
    </row>
    <row r="304" ht="15.75" customHeight="1">
      <c r="C304" s="8"/>
      <c r="N304" s="8"/>
    </row>
    <row r="305" ht="15.75" customHeight="1">
      <c r="C305" s="8"/>
      <c r="N305" s="8"/>
    </row>
    <row r="306" ht="15.75" customHeight="1">
      <c r="C306" s="8"/>
      <c r="N306" s="8"/>
    </row>
    <row r="307" ht="15.75" customHeight="1">
      <c r="C307" s="8"/>
      <c r="N307" s="8"/>
    </row>
    <row r="308" ht="15.75" customHeight="1">
      <c r="C308" s="8"/>
      <c r="N308" s="8"/>
    </row>
    <row r="309" ht="15.75" customHeight="1">
      <c r="C309" s="8"/>
      <c r="N309" s="8"/>
    </row>
    <row r="310" ht="15.75" customHeight="1">
      <c r="C310" s="8"/>
      <c r="N310" s="8"/>
    </row>
    <row r="311" ht="15.75" customHeight="1">
      <c r="C311" s="8"/>
      <c r="N311" s="8"/>
    </row>
    <row r="312" ht="15.75" customHeight="1">
      <c r="C312" s="8"/>
      <c r="N312" s="8"/>
    </row>
    <row r="313" ht="15.75" customHeight="1">
      <c r="C313" s="8"/>
      <c r="N313" s="8"/>
    </row>
    <row r="314" ht="15.75" customHeight="1">
      <c r="C314" s="8"/>
      <c r="N314" s="8"/>
    </row>
    <row r="315" ht="15.75" customHeight="1">
      <c r="C315" s="8"/>
      <c r="N315" s="8"/>
    </row>
    <row r="316" ht="15.75" customHeight="1">
      <c r="C316" s="8"/>
      <c r="N316" s="8"/>
    </row>
    <row r="317" ht="15.75" customHeight="1">
      <c r="C317" s="8"/>
      <c r="N317" s="8"/>
    </row>
    <row r="318" ht="15.75" customHeight="1">
      <c r="C318" s="8"/>
      <c r="N318" s="8"/>
    </row>
    <row r="319" ht="15.75" customHeight="1">
      <c r="C319" s="8"/>
      <c r="N319" s="8"/>
    </row>
    <row r="320" ht="15.75" customHeight="1">
      <c r="C320" s="8"/>
      <c r="N320" s="8"/>
    </row>
    <row r="321" ht="15.75" customHeight="1">
      <c r="C321" s="8"/>
      <c r="N321" s="8"/>
    </row>
    <row r="322" ht="15.75" customHeight="1">
      <c r="C322" s="8"/>
      <c r="N322" s="8"/>
    </row>
    <row r="323" ht="15.75" customHeight="1">
      <c r="C323" s="8"/>
      <c r="N323" s="8"/>
    </row>
    <row r="324" ht="15.75" customHeight="1">
      <c r="C324" s="8"/>
      <c r="N324" s="8"/>
    </row>
    <row r="325" ht="15.75" customHeight="1">
      <c r="C325" s="8"/>
      <c r="N325" s="8"/>
    </row>
    <row r="326" ht="15.75" customHeight="1">
      <c r="C326" s="8"/>
      <c r="N326" s="8"/>
    </row>
    <row r="327" ht="15.75" customHeight="1">
      <c r="C327" s="8"/>
      <c r="N327" s="8"/>
    </row>
    <row r="328" ht="15.75" customHeight="1">
      <c r="C328" s="8"/>
      <c r="N328" s="8"/>
    </row>
    <row r="329" ht="15.75" customHeight="1">
      <c r="C329" s="8"/>
      <c r="N329" s="8"/>
    </row>
    <row r="330" ht="15.75" customHeight="1">
      <c r="C330" s="8"/>
      <c r="N330" s="8"/>
    </row>
    <row r="331" ht="15.75" customHeight="1">
      <c r="C331" s="8"/>
      <c r="N331" s="8"/>
    </row>
    <row r="332" ht="15.75" customHeight="1">
      <c r="C332" s="8"/>
      <c r="N332" s="8"/>
    </row>
    <row r="333" ht="15.75" customHeight="1">
      <c r="C333" s="8"/>
      <c r="N333" s="8"/>
    </row>
    <row r="334" ht="15.75" customHeight="1">
      <c r="C334" s="8"/>
      <c r="N334" s="8"/>
    </row>
    <row r="335" ht="15.75" customHeight="1">
      <c r="C335" s="8"/>
      <c r="N335" s="8"/>
    </row>
    <row r="336" ht="15.75" customHeight="1">
      <c r="C336" s="8"/>
      <c r="N336" s="8"/>
    </row>
    <row r="337" ht="15.75" customHeight="1">
      <c r="C337" s="8"/>
      <c r="N337" s="8"/>
    </row>
    <row r="338" ht="15.75" customHeight="1">
      <c r="C338" s="8"/>
      <c r="N338" s="8"/>
    </row>
    <row r="339" ht="15.75" customHeight="1">
      <c r="C339" s="8"/>
      <c r="N339" s="8"/>
    </row>
    <row r="340" ht="15.75" customHeight="1">
      <c r="C340" s="8"/>
      <c r="N340" s="8"/>
    </row>
    <row r="341" ht="15.75" customHeight="1">
      <c r="C341" s="8"/>
      <c r="N341" s="8"/>
    </row>
    <row r="342" ht="15.75" customHeight="1">
      <c r="C342" s="8"/>
      <c r="N342" s="8"/>
    </row>
    <row r="343" ht="15.75" customHeight="1">
      <c r="C343" s="8"/>
      <c r="N343" s="8"/>
    </row>
    <row r="344" ht="15.75" customHeight="1">
      <c r="C344" s="8"/>
      <c r="N344" s="8"/>
    </row>
    <row r="345" ht="15.75" customHeight="1">
      <c r="C345" s="8"/>
      <c r="N345" s="8"/>
    </row>
    <row r="346" ht="15.75" customHeight="1">
      <c r="C346" s="8"/>
      <c r="N346" s="8"/>
    </row>
    <row r="347" ht="15.75" customHeight="1">
      <c r="C347" s="8"/>
      <c r="N347" s="8"/>
    </row>
    <row r="348" ht="15.75" customHeight="1">
      <c r="C348" s="8"/>
      <c r="N348" s="8"/>
    </row>
    <row r="349" ht="15.75" customHeight="1">
      <c r="C349" s="8"/>
      <c r="N349" s="8"/>
    </row>
    <row r="350" ht="15.75" customHeight="1">
      <c r="C350" s="8"/>
      <c r="N350" s="8"/>
    </row>
    <row r="351" ht="15.75" customHeight="1">
      <c r="C351" s="8"/>
      <c r="N351" s="8"/>
    </row>
    <row r="352" ht="15.75" customHeight="1">
      <c r="C352" s="8"/>
      <c r="N352" s="8"/>
    </row>
    <row r="353" ht="15.75" customHeight="1">
      <c r="C353" s="8"/>
      <c r="N353" s="8"/>
    </row>
    <row r="354" ht="15.75" customHeight="1">
      <c r="C354" s="8"/>
      <c r="N354" s="8"/>
    </row>
    <row r="355" ht="15.75" customHeight="1">
      <c r="C355" s="8"/>
      <c r="N355" s="8"/>
    </row>
    <row r="356" ht="15.75" customHeight="1">
      <c r="C356" s="8"/>
      <c r="N356" s="8"/>
    </row>
    <row r="357" ht="15.75" customHeight="1">
      <c r="C357" s="8"/>
      <c r="N357" s="8"/>
    </row>
    <row r="358" ht="15.75" customHeight="1">
      <c r="C358" s="8"/>
      <c r="N358" s="8"/>
    </row>
    <row r="359" ht="15.75" customHeight="1">
      <c r="C359" s="8"/>
      <c r="N359" s="8"/>
    </row>
    <row r="360" ht="15.75" customHeight="1">
      <c r="C360" s="8"/>
      <c r="N360" s="8"/>
    </row>
    <row r="361" ht="15.75" customHeight="1">
      <c r="C361" s="8"/>
      <c r="N361" s="8"/>
    </row>
    <row r="362" ht="15.75" customHeight="1">
      <c r="C362" s="8"/>
      <c r="N362" s="8"/>
    </row>
    <row r="363" ht="15.75" customHeight="1">
      <c r="C363" s="8"/>
      <c r="N363" s="8"/>
    </row>
    <row r="364" ht="15.75" customHeight="1">
      <c r="C364" s="8"/>
      <c r="N364" s="8"/>
    </row>
    <row r="365" ht="15.75" customHeight="1">
      <c r="C365" s="8"/>
      <c r="N365" s="8"/>
    </row>
    <row r="366" ht="15.75" customHeight="1">
      <c r="C366" s="8"/>
      <c r="N366" s="8"/>
    </row>
    <row r="367" ht="15.75" customHeight="1">
      <c r="C367" s="8"/>
      <c r="N367" s="8"/>
    </row>
    <row r="368" ht="15.75" customHeight="1">
      <c r="C368" s="8"/>
      <c r="N368" s="8"/>
    </row>
    <row r="369" ht="15.75" customHeight="1">
      <c r="C369" s="8"/>
      <c r="N369" s="8"/>
    </row>
    <row r="370" ht="15.75" customHeight="1">
      <c r="C370" s="8"/>
      <c r="N370" s="8"/>
    </row>
    <row r="371" ht="15.75" customHeight="1">
      <c r="C371" s="8"/>
      <c r="N371" s="8"/>
    </row>
    <row r="372" ht="15.75" customHeight="1">
      <c r="C372" s="8"/>
      <c r="N372" s="8"/>
    </row>
    <row r="373" ht="15.75" customHeight="1">
      <c r="C373" s="8"/>
      <c r="N373" s="8"/>
    </row>
    <row r="374" ht="15.75" customHeight="1">
      <c r="C374" s="8"/>
      <c r="N374" s="8"/>
    </row>
    <row r="375" ht="15.75" customHeight="1">
      <c r="C375" s="8"/>
      <c r="N375" s="8"/>
    </row>
    <row r="376" ht="15.75" customHeight="1">
      <c r="C376" s="8"/>
      <c r="N376" s="8"/>
    </row>
    <row r="377" ht="15.75" customHeight="1">
      <c r="C377" s="8"/>
      <c r="N377" s="8"/>
    </row>
    <row r="378" ht="15.75" customHeight="1">
      <c r="C378" s="8"/>
      <c r="N378" s="8"/>
    </row>
    <row r="379" ht="15.75" customHeight="1">
      <c r="C379" s="8"/>
      <c r="N379" s="8"/>
    </row>
    <row r="380" ht="15.75" customHeight="1">
      <c r="C380" s="8"/>
      <c r="N380" s="8"/>
    </row>
    <row r="381" ht="15.75" customHeight="1">
      <c r="C381" s="8"/>
      <c r="N381" s="8"/>
    </row>
    <row r="382" ht="15.75" customHeight="1">
      <c r="C382" s="8"/>
      <c r="N382" s="8"/>
    </row>
    <row r="383" ht="15.75" customHeight="1">
      <c r="C383" s="8"/>
      <c r="N383" s="8"/>
    </row>
    <row r="384" ht="15.75" customHeight="1">
      <c r="C384" s="8"/>
      <c r="N384" s="8"/>
    </row>
    <row r="385" ht="15.75" customHeight="1">
      <c r="C385" s="8"/>
      <c r="N385" s="8"/>
    </row>
    <row r="386" ht="15.75" customHeight="1">
      <c r="C386" s="8"/>
      <c r="N386" s="8"/>
    </row>
    <row r="387" ht="15.75" customHeight="1">
      <c r="C387" s="8"/>
      <c r="N387" s="8"/>
    </row>
    <row r="388" ht="15.75" customHeight="1">
      <c r="C388" s="8"/>
      <c r="N388" s="8"/>
    </row>
    <row r="389" ht="15.75" customHeight="1">
      <c r="C389" s="8"/>
      <c r="N389" s="8"/>
    </row>
    <row r="390" ht="15.75" customHeight="1">
      <c r="C390" s="8"/>
      <c r="N390" s="8"/>
    </row>
    <row r="391" ht="15.75" customHeight="1">
      <c r="C391" s="8"/>
      <c r="N391" s="8"/>
    </row>
    <row r="392" ht="15.75" customHeight="1">
      <c r="C392" s="8"/>
      <c r="N392" s="8"/>
    </row>
    <row r="393" ht="15.75" customHeight="1">
      <c r="C393" s="8"/>
      <c r="N393" s="8"/>
    </row>
    <row r="394" ht="15.75" customHeight="1">
      <c r="C394" s="8"/>
      <c r="N394" s="8"/>
    </row>
    <row r="395" ht="15.75" customHeight="1">
      <c r="C395" s="8"/>
      <c r="N395" s="8"/>
    </row>
    <row r="396" ht="15.75" customHeight="1">
      <c r="C396" s="8"/>
      <c r="N396" s="8"/>
    </row>
    <row r="397" ht="15.75" customHeight="1">
      <c r="C397" s="8"/>
      <c r="N397" s="8"/>
    </row>
    <row r="398" ht="15.75" customHeight="1">
      <c r="C398" s="8"/>
      <c r="N398" s="8"/>
    </row>
    <row r="399" ht="15.75" customHeight="1">
      <c r="C399" s="8"/>
      <c r="N399" s="8"/>
    </row>
    <row r="400" ht="15.75" customHeight="1">
      <c r="C400" s="8"/>
      <c r="N400" s="8"/>
    </row>
    <row r="401" ht="15.75" customHeight="1">
      <c r="C401" s="8"/>
      <c r="N401" s="8"/>
    </row>
    <row r="402" ht="15.75" customHeight="1">
      <c r="C402" s="8"/>
      <c r="N402" s="8"/>
    </row>
    <row r="403" ht="15.75" customHeight="1">
      <c r="C403" s="8"/>
      <c r="N403" s="8"/>
    </row>
    <row r="404" ht="15.75" customHeight="1">
      <c r="C404" s="8"/>
      <c r="N404" s="8"/>
    </row>
    <row r="405" ht="15.75" customHeight="1">
      <c r="C405" s="8"/>
      <c r="N405" s="8"/>
    </row>
    <row r="406" ht="15.75" customHeight="1">
      <c r="C406" s="8"/>
      <c r="N406" s="8"/>
    </row>
    <row r="407" ht="15.75" customHeight="1">
      <c r="C407" s="8"/>
      <c r="N407" s="8"/>
    </row>
    <row r="408" ht="15.75" customHeight="1">
      <c r="C408" s="8"/>
      <c r="N408" s="8"/>
    </row>
    <row r="409" ht="15.75" customHeight="1">
      <c r="C409" s="8"/>
      <c r="N409" s="8"/>
    </row>
    <row r="410" ht="15.75" customHeight="1">
      <c r="C410" s="8"/>
      <c r="N410" s="8"/>
    </row>
    <row r="411" ht="15.75" customHeight="1">
      <c r="C411" s="8"/>
      <c r="N411" s="8"/>
    </row>
    <row r="412" ht="15.75" customHeight="1">
      <c r="C412" s="8"/>
      <c r="N412" s="8"/>
    </row>
    <row r="413" ht="15.75" customHeight="1">
      <c r="C413" s="8"/>
      <c r="N413" s="8"/>
    </row>
    <row r="414" ht="15.75" customHeight="1">
      <c r="C414" s="8"/>
      <c r="N414" s="8"/>
    </row>
    <row r="415" ht="15.75" customHeight="1">
      <c r="C415" s="8"/>
      <c r="N415" s="8"/>
    </row>
    <row r="416" ht="15.75" customHeight="1">
      <c r="C416" s="8"/>
      <c r="N416" s="8"/>
    </row>
    <row r="417" ht="15.75" customHeight="1">
      <c r="C417" s="8"/>
      <c r="N417" s="8"/>
    </row>
    <row r="418" ht="15.75" customHeight="1">
      <c r="C418" s="8"/>
      <c r="N418" s="8"/>
    </row>
    <row r="419" ht="15.75" customHeight="1">
      <c r="C419" s="8"/>
      <c r="N419" s="8"/>
    </row>
    <row r="420" ht="15.75" customHeight="1">
      <c r="C420" s="8"/>
      <c r="N420" s="8"/>
    </row>
    <row r="421" ht="15.75" customHeight="1">
      <c r="C421" s="8"/>
      <c r="N421" s="8"/>
    </row>
    <row r="422" ht="15.75" customHeight="1">
      <c r="C422" s="8"/>
      <c r="N422" s="8"/>
    </row>
    <row r="423" ht="15.75" customHeight="1">
      <c r="C423" s="8"/>
      <c r="N423" s="8"/>
    </row>
    <row r="424" ht="15.75" customHeight="1">
      <c r="C424" s="8"/>
      <c r="N424" s="8"/>
    </row>
    <row r="425" ht="15.75" customHeight="1">
      <c r="C425" s="8"/>
      <c r="N425" s="8"/>
    </row>
    <row r="426" ht="15.75" customHeight="1">
      <c r="C426" s="8"/>
      <c r="N426" s="8"/>
    </row>
    <row r="427" ht="15.75" customHeight="1">
      <c r="C427" s="8"/>
      <c r="N427" s="8"/>
    </row>
    <row r="428" ht="15.75" customHeight="1">
      <c r="C428" s="8"/>
      <c r="N428" s="8"/>
    </row>
    <row r="429" ht="15.75" customHeight="1">
      <c r="C429" s="8"/>
      <c r="N429" s="8"/>
    </row>
    <row r="430" ht="15.75" customHeight="1">
      <c r="C430" s="8"/>
      <c r="N430" s="8"/>
    </row>
    <row r="431" ht="15.75" customHeight="1">
      <c r="C431" s="8"/>
      <c r="N431" s="8"/>
    </row>
    <row r="432" ht="15.75" customHeight="1">
      <c r="C432" s="8"/>
      <c r="N432" s="8"/>
    </row>
    <row r="433" ht="15.75" customHeight="1">
      <c r="C433" s="8"/>
      <c r="N433" s="8"/>
    </row>
    <row r="434" ht="15.75" customHeight="1">
      <c r="C434" s="8"/>
      <c r="N434" s="8"/>
    </row>
    <row r="435" ht="15.75" customHeight="1">
      <c r="C435" s="8"/>
      <c r="N435" s="8"/>
    </row>
    <row r="436" ht="15.75" customHeight="1">
      <c r="C436" s="8"/>
      <c r="N436" s="8"/>
    </row>
    <row r="437" ht="15.75" customHeight="1">
      <c r="C437" s="8"/>
      <c r="N437" s="8"/>
    </row>
    <row r="438" ht="15.75" customHeight="1">
      <c r="C438" s="8"/>
      <c r="N438" s="8"/>
    </row>
    <row r="439" ht="15.75" customHeight="1">
      <c r="C439" s="8"/>
      <c r="N439" s="8"/>
    </row>
    <row r="440" ht="15.75" customHeight="1">
      <c r="C440" s="8"/>
      <c r="N440" s="8"/>
    </row>
    <row r="441" ht="15.75" customHeight="1">
      <c r="C441" s="8"/>
      <c r="N441" s="8"/>
    </row>
    <row r="442" ht="15.75" customHeight="1">
      <c r="C442" s="8"/>
      <c r="N442" s="8"/>
    </row>
    <row r="443" ht="15.75" customHeight="1">
      <c r="C443" s="8"/>
      <c r="N443" s="8"/>
    </row>
    <row r="444" ht="15.75" customHeight="1">
      <c r="C444" s="8"/>
      <c r="N444" s="8"/>
    </row>
    <row r="445" ht="15.75" customHeight="1">
      <c r="C445" s="8"/>
      <c r="N445" s="8"/>
    </row>
    <row r="446" ht="15.75" customHeight="1">
      <c r="C446" s="8"/>
      <c r="N446" s="8"/>
    </row>
    <row r="447" ht="15.75" customHeight="1">
      <c r="C447" s="8"/>
      <c r="N447" s="8"/>
    </row>
    <row r="448" ht="15.75" customHeight="1">
      <c r="C448" s="8"/>
      <c r="N448" s="8"/>
    </row>
    <row r="449" ht="15.75" customHeight="1">
      <c r="C449" s="8"/>
      <c r="N449" s="8"/>
    </row>
    <row r="450" ht="15.75" customHeight="1">
      <c r="C450" s="8"/>
      <c r="N450" s="8"/>
    </row>
    <row r="451" ht="15.75" customHeight="1">
      <c r="C451" s="8"/>
      <c r="N451" s="8"/>
    </row>
    <row r="452" ht="15.75" customHeight="1">
      <c r="C452" s="8"/>
      <c r="N452" s="8"/>
    </row>
    <row r="453" ht="15.75" customHeight="1">
      <c r="C453" s="8"/>
      <c r="N453" s="8"/>
    </row>
    <row r="454" ht="15.75" customHeight="1">
      <c r="C454" s="8"/>
      <c r="N454" s="8"/>
    </row>
    <row r="455" ht="15.75" customHeight="1">
      <c r="C455" s="8"/>
      <c r="N455" s="8"/>
    </row>
    <row r="456" ht="15.75" customHeight="1">
      <c r="C456" s="8"/>
      <c r="N456" s="8"/>
    </row>
    <row r="457" ht="15.75" customHeight="1">
      <c r="C457" s="8"/>
      <c r="N457" s="8"/>
    </row>
    <row r="458" ht="15.75" customHeight="1">
      <c r="C458" s="8"/>
      <c r="N458" s="8"/>
    </row>
    <row r="459" ht="15.75" customHeight="1">
      <c r="C459" s="8"/>
      <c r="N459" s="8"/>
    </row>
    <row r="460" ht="15.75" customHeight="1">
      <c r="C460" s="8"/>
      <c r="N460" s="8"/>
    </row>
    <row r="461" ht="15.75" customHeight="1">
      <c r="C461" s="8"/>
      <c r="N461" s="8"/>
    </row>
    <row r="462" ht="15.75" customHeight="1">
      <c r="C462" s="8"/>
      <c r="N462" s="8"/>
    </row>
    <row r="463" ht="15.75" customHeight="1">
      <c r="C463" s="8"/>
      <c r="N463" s="8"/>
    </row>
    <row r="464" ht="15.75" customHeight="1">
      <c r="C464" s="8"/>
      <c r="N464" s="8"/>
    </row>
    <row r="465" ht="15.75" customHeight="1">
      <c r="C465" s="8"/>
      <c r="N465" s="8"/>
    </row>
    <row r="466" ht="15.75" customHeight="1">
      <c r="C466" s="8"/>
      <c r="N466" s="8"/>
    </row>
    <row r="467" ht="15.75" customHeight="1">
      <c r="C467" s="8"/>
      <c r="N467" s="8"/>
    </row>
    <row r="468" ht="15.75" customHeight="1">
      <c r="C468" s="8"/>
      <c r="N468" s="8"/>
    </row>
    <row r="469" ht="15.75" customHeight="1">
      <c r="C469" s="8"/>
      <c r="N469" s="8"/>
    </row>
    <row r="470" ht="15.75" customHeight="1">
      <c r="C470" s="8"/>
      <c r="N470" s="8"/>
    </row>
    <row r="471" ht="15.75" customHeight="1">
      <c r="C471" s="8"/>
      <c r="N471" s="8"/>
    </row>
    <row r="472" ht="15.75" customHeight="1">
      <c r="C472" s="8"/>
      <c r="N472" s="8"/>
    </row>
    <row r="473" ht="15.75" customHeight="1">
      <c r="C473" s="8"/>
      <c r="N473" s="8"/>
    </row>
    <row r="474" ht="15.75" customHeight="1">
      <c r="C474" s="8"/>
      <c r="N474" s="8"/>
    </row>
    <row r="475" ht="15.75" customHeight="1">
      <c r="C475" s="8"/>
      <c r="N475" s="8"/>
    </row>
    <row r="476" ht="15.75" customHeight="1">
      <c r="C476" s="8"/>
      <c r="N476" s="8"/>
    </row>
    <row r="477" ht="15.75" customHeight="1">
      <c r="C477" s="8"/>
      <c r="N477" s="8"/>
    </row>
    <row r="478" ht="15.75" customHeight="1">
      <c r="C478" s="8"/>
      <c r="N478" s="8"/>
    </row>
    <row r="479" ht="15.75" customHeight="1">
      <c r="C479" s="8"/>
      <c r="N479" s="8"/>
    </row>
    <row r="480" ht="15.75" customHeight="1">
      <c r="C480" s="8"/>
      <c r="N480" s="8"/>
    </row>
    <row r="481" ht="15.75" customHeight="1">
      <c r="C481" s="8"/>
      <c r="N481" s="8"/>
    </row>
    <row r="482" ht="15.75" customHeight="1">
      <c r="C482" s="8"/>
      <c r="N482" s="8"/>
    </row>
    <row r="483" ht="15.75" customHeight="1">
      <c r="C483" s="8"/>
      <c r="N483" s="8"/>
    </row>
    <row r="484" ht="15.75" customHeight="1">
      <c r="C484" s="8"/>
      <c r="N484" s="8"/>
    </row>
    <row r="485" ht="15.75" customHeight="1">
      <c r="C485" s="8"/>
      <c r="N485" s="8"/>
    </row>
    <row r="486" ht="15.75" customHeight="1">
      <c r="C486" s="8"/>
      <c r="N486" s="8"/>
    </row>
    <row r="487" ht="15.75" customHeight="1">
      <c r="C487" s="8"/>
      <c r="N487" s="8"/>
    </row>
    <row r="488" ht="15.75" customHeight="1">
      <c r="C488" s="8"/>
      <c r="N488" s="8"/>
    </row>
    <row r="489" ht="15.75" customHeight="1">
      <c r="C489" s="8"/>
      <c r="N489" s="8"/>
    </row>
    <row r="490" ht="15.75" customHeight="1">
      <c r="C490" s="8"/>
      <c r="N490" s="8"/>
    </row>
    <row r="491" ht="15.75" customHeight="1">
      <c r="C491" s="8"/>
      <c r="N491" s="8"/>
    </row>
    <row r="492" ht="15.75" customHeight="1">
      <c r="C492" s="8"/>
      <c r="N492" s="8"/>
    </row>
    <row r="493" ht="15.75" customHeight="1">
      <c r="C493" s="8"/>
      <c r="N493" s="8"/>
    </row>
    <row r="494" ht="15.75" customHeight="1">
      <c r="C494" s="8"/>
      <c r="N494" s="8"/>
    </row>
    <row r="495" ht="15.75" customHeight="1">
      <c r="C495" s="8"/>
      <c r="N495" s="8"/>
    </row>
    <row r="496" ht="15.75" customHeight="1">
      <c r="C496" s="8"/>
      <c r="N496" s="8"/>
    </row>
    <row r="497" ht="15.75" customHeight="1">
      <c r="C497" s="8"/>
      <c r="N497" s="8"/>
    </row>
    <row r="498" ht="15.75" customHeight="1">
      <c r="C498" s="8"/>
      <c r="N498" s="8"/>
    </row>
    <row r="499" ht="15.75" customHeight="1">
      <c r="C499" s="8"/>
      <c r="N499" s="8"/>
    </row>
    <row r="500" ht="15.75" customHeight="1">
      <c r="C500" s="8"/>
      <c r="N500" s="8"/>
    </row>
    <row r="501" ht="15.75" customHeight="1">
      <c r="C501" s="8"/>
      <c r="N501" s="8"/>
    </row>
    <row r="502" ht="15.75" customHeight="1">
      <c r="C502" s="8"/>
      <c r="N502" s="8"/>
    </row>
    <row r="503" ht="15.75" customHeight="1">
      <c r="C503" s="8"/>
      <c r="N503" s="8"/>
    </row>
    <row r="504" ht="15.75" customHeight="1">
      <c r="C504" s="8"/>
      <c r="N504" s="8"/>
    </row>
    <row r="505" ht="15.75" customHeight="1">
      <c r="C505" s="8"/>
      <c r="N505" s="8"/>
    </row>
    <row r="506" ht="15.75" customHeight="1">
      <c r="C506" s="8"/>
      <c r="N506" s="8"/>
    </row>
    <row r="507" ht="15.75" customHeight="1">
      <c r="C507" s="8"/>
      <c r="N507" s="8"/>
    </row>
    <row r="508" ht="15.75" customHeight="1">
      <c r="C508" s="8"/>
      <c r="N508" s="8"/>
    </row>
    <row r="509" ht="15.75" customHeight="1">
      <c r="C509" s="8"/>
      <c r="N509" s="8"/>
    </row>
    <row r="510" ht="15.75" customHeight="1">
      <c r="C510" s="8"/>
      <c r="N510" s="8"/>
    </row>
    <row r="511" ht="15.75" customHeight="1">
      <c r="C511" s="8"/>
      <c r="N511" s="8"/>
    </row>
    <row r="512" ht="15.75" customHeight="1">
      <c r="C512" s="8"/>
      <c r="N512" s="8"/>
    </row>
    <row r="513" ht="15.75" customHeight="1">
      <c r="C513" s="8"/>
      <c r="N513" s="8"/>
    </row>
    <row r="514" ht="15.75" customHeight="1">
      <c r="C514" s="8"/>
      <c r="N514" s="8"/>
    </row>
    <row r="515" ht="15.75" customHeight="1">
      <c r="C515" s="8"/>
      <c r="N515" s="8"/>
    </row>
    <row r="516" ht="15.75" customHeight="1">
      <c r="C516" s="8"/>
      <c r="N516" s="8"/>
    </row>
    <row r="517" ht="15.75" customHeight="1">
      <c r="C517" s="8"/>
      <c r="N517" s="8"/>
    </row>
    <row r="518" ht="15.75" customHeight="1">
      <c r="C518" s="8"/>
      <c r="N518" s="8"/>
    </row>
    <row r="519" ht="15.75" customHeight="1">
      <c r="C519" s="8"/>
      <c r="N519" s="8"/>
    </row>
    <row r="520" ht="15.75" customHeight="1">
      <c r="C520" s="8"/>
      <c r="N520" s="8"/>
    </row>
    <row r="521" ht="15.75" customHeight="1">
      <c r="C521" s="8"/>
      <c r="N521" s="8"/>
    </row>
    <row r="522" ht="15.75" customHeight="1">
      <c r="C522" s="8"/>
      <c r="N522" s="8"/>
    </row>
    <row r="523" ht="15.75" customHeight="1">
      <c r="C523" s="8"/>
      <c r="N523" s="8"/>
    </row>
    <row r="524" ht="15.75" customHeight="1">
      <c r="C524" s="8"/>
      <c r="N524" s="8"/>
    </row>
    <row r="525" ht="15.75" customHeight="1">
      <c r="C525" s="8"/>
      <c r="N525" s="8"/>
    </row>
    <row r="526" ht="15.75" customHeight="1">
      <c r="C526" s="8"/>
      <c r="N526" s="8"/>
    </row>
    <row r="527" ht="15.75" customHeight="1">
      <c r="C527" s="8"/>
      <c r="N527" s="8"/>
    </row>
    <row r="528" ht="15.75" customHeight="1">
      <c r="C528" s="8"/>
      <c r="N528" s="8"/>
    </row>
    <row r="529" ht="15.75" customHeight="1">
      <c r="C529" s="8"/>
      <c r="N529" s="8"/>
    </row>
    <row r="530" ht="15.75" customHeight="1">
      <c r="C530" s="8"/>
      <c r="N530" s="8"/>
    </row>
    <row r="531" ht="15.75" customHeight="1">
      <c r="C531" s="8"/>
      <c r="N531" s="8"/>
    </row>
    <row r="532" ht="15.75" customHeight="1">
      <c r="C532" s="8"/>
      <c r="N532" s="8"/>
    </row>
    <row r="533" ht="15.75" customHeight="1">
      <c r="C533" s="8"/>
      <c r="N533" s="8"/>
    </row>
    <row r="534" ht="15.75" customHeight="1">
      <c r="C534" s="8"/>
      <c r="N534" s="8"/>
    </row>
    <row r="535" ht="15.75" customHeight="1">
      <c r="C535" s="8"/>
      <c r="N535" s="8"/>
    </row>
    <row r="536" ht="15.75" customHeight="1">
      <c r="C536" s="8"/>
      <c r="N536" s="8"/>
    </row>
    <row r="537" ht="15.75" customHeight="1">
      <c r="C537" s="8"/>
      <c r="N537" s="8"/>
    </row>
    <row r="538" ht="15.75" customHeight="1">
      <c r="C538" s="8"/>
      <c r="N538" s="8"/>
    </row>
    <row r="539" ht="15.75" customHeight="1">
      <c r="C539" s="8"/>
      <c r="N539" s="8"/>
    </row>
    <row r="540" ht="15.75" customHeight="1">
      <c r="C540" s="8"/>
      <c r="N540" s="8"/>
    </row>
    <row r="541" ht="15.75" customHeight="1">
      <c r="C541" s="8"/>
      <c r="N541" s="8"/>
    </row>
    <row r="542" ht="15.75" customHeight="1">
      <c r="C542" s="8"/>
      <c r="N542" s="8"/>
    </row>
    <row r="543" ht="15.75" customHeight="1">
      <c r="C543" s="8"/>
      <c r="N543" s="8"/>
    </row>
    <row r="544" ht="15.75" customHeight="1">
      <c r="C544" s="8"/>
      <c r="N544" s="8"/>
    </row>
    <row r="545" ht="15.75" customHeight="1">
      <c r="C545" s="8"/>
      <c r="N545" s="8"/>
    </row>
    <row r="546" ht="15.75" customHeight="1">
      <c r="C546" s="8"/>
      <c r="N546" s="8"/>
    </row>
    <row r="547" ht="15.75" customHeight="1">
      <c r="C547" s="8"/>
      <c r="N547" s="8"/>
    </row>
    <row r="548" ht="15.75" customHeight="1">
      <c r="C548" s="8"/>
      <c r="N548" s="8"/>
    </row>
    <row r="549" ht="15.75" customHeight="1">
      <c r="C549" s="8"/>
      <c r="N549" s="8"/>
    </row>
    <row r="550" ht="15.75" customHeight="1">
      <c r="C550" s="8"/>
      <c r="N550" s="8"/>
    </row>
    <row r="551" ht="15.75" customHeight="1">
      <c r="C551" s="8"/>
      <c r="N551" s="8"/>
    </row>
    <row r="552" ht="15.75" customHeight="1">
      <c r="C552" s="8"/>
      <c r="N552" s="8"/>
    </row>
    <row r="553" ht="15.75" customHeight="1">
      <c r="C553" s="8"/>
      <c r="N553" s="8"/>
    </row>
    <row r="554" ht="15.75" customHeight="1">
      <c r="C554" s="8"/>
      <c r="N554" s="8"/>
    </row>
    <row r="555" ht="15.75" customHeight="1">
      <c r="C555" s="8"/>
      <c r="N555" s="8"/>
    </row>
    <row r="556" ht="15.75" customHeight="1">
      <c r="C556" s="8"/>
      <c r="N556" s="8"/>
    </row>
    <row r="557" ht="15.75" customHeight="1">
      <c r="C557" s="8"/>
      <c r="N557" s="8"/>
    </row>
    <row r="558" ht="15.75" customHeight="1">
      <c r="C558" s="8"/>
      <c r="N558" s="8"/>
    </row>
    <row r="559" ht="15.75" customHeight="1">
      <c r="C559" s="8"/>
      <c r="N559" s="8"/>
    </row>
    <row r="560" ht="15.75" customHeight="1">
      <c r="C560" s="8"/>
      <c r="N560" s="8"/>
    </row>
    <row r="561" ht="15.75" customHeight="1">
      <c r="C561" s="8"/>
      <c r="N561" s="8"/>
    </row>
    <row r="562" ht="15.75" customHeight="1">
      <c r="C562" s="8"/>
      <c r="N562" s="8"/>
    </row>
    <row r="563" ht="15.75" customHeight="1">
      <c r="C563" s="8"/>
      <c r="N563" s="8"/>
    </row>
    <row r="564" ht="15.75" customHeight="1">
      <c r="C564" s="8"/>
      <c r="N564" s="8"/>
    </row>
    <row r="565" ht="15.75" customHeight="1">
      <c r="C565" s="8"/>
      <c r="N565" s="8"/>
    </row>
    <row r="566" ht="15.75" customHeight="1">
      <c r="C566" s="8"/>
      <c r="N566" s="8"/>
    </row>
    <row r="567" ht="15.75" customHeight="1">
      <c r="C567" s="8"/>
      <c r="N567" s="8"/>
    </row>
    <row r="568" ht="15.75" customHeight="1">
      <c r="C568" s="8"/>
      <c r="N568" s="8"/>
    </row>
    <row r="569" ht="15.75" customHeight="1">
      <c r="C569" s="8"/>
      <c r="N569" s="8"/>
    </row>
    <row r="570" ht="15.75" customHeight="1">
      <c r="C570" s="8"/>
      <c r="N570" s="8"/>
    </row>
    <row r="571" ht="15.75" customHeight="1">
      <c r="C571" s="8"/>
      <c r="N571" s="8"/>
    </row>
    <row r="572" ht="15.75" customHeight="1">
      <c r="C572" s="8"/>
      <c r="N572" s="8"/>
    </row>
    <row r="573" ht="15.75" customHeight="1">
      <c r="C573" s="8"/>
      <c r="N573" s="8"/>
    </row>
    <row r="574" ht="15.75" customHeight="1">
      <c r="C574" s="8"/>
      <c r="N574" s="8"/>
    </row>
    <row r="575" ht="15.75" customHeight="1">
      <c r="C575" s="8"/>
      <c r="N575" s="8"/>
    </row>
    <row r="576" ht="15.75" customHeight="1">
      <c r="C576" s="8"/>
      <c r="N576" s="8"/>
    </row>
    <row r="577" ht="15.75" customHeight="1">
      <c r="C577" s="8"/>
      <c r="N577" s="8"/>
    </row>
    <row r="578" ht="15.75" customHeight="1">
      <c r="C578" s="8"/>
      <c r="N578" s="8"/>
    </row>
    <row r="579" ht="15.75" customHeight="1">
      <c r="C579" s="8"/>
      <c r="N579" s="8"/>
    </row>
    <row r="580" ht="15.75" customHeight="1">
      <c r="C580" s="8"/>
      <c r="N580" s="8"/>
    </row>
    <row r="581" ht="15.75" customHeight="1">
      <c r="C581" s="8"/>
      <c r="N581" s="8"/>
    </row>
    <row r="582" ht="15.75" customHeight="1">
      <c r="C582" s="8"/>
      <c r="N582" s="8"/>
    </row>
    <row r="583" ht="15.75" customHeight="1">
      <c r="C583" s="8"/>
      <c r="N583" s="8"/>
    </row>
    <row r="584" ht="15.75" customHeight="1">
      <c r="C584" s="8"/>
      <c r="N584" s="8"/>
    </row>
    <row r="585" ht="15.75" customHeight="1">
      <c r="C585" s="8"/>
      <c r="N585" s="8"/>
    </row>
    <row r="586" ht="15.75" customHeight="1">
      <c r="C586" s="8"/>
      <c r="N586" s="8"/>
    </row>
    <row r="587" ht="15.75" customHeight="1">
      <c r="C587" s="8"/>
      <c r="N587" s="8"/>
    </row>
    <row r="588" ht="15.75" customHeight="1">
      <c r="C588" s="8"/>
      <c r="N588" s="8"/>
    </row>
    <row r="589" ht="15.75" customHeight="1">
      <c r="C589" s="8"/>
      <c r="N589" s="8"/>
    </row>
    <row r="590" ht="15.75" customHeight="1">
      <c r="C590" s="8"/>
      <c r="N590" s="8"/>
    </row>
    <row r="591" ht="15.75" customHeight="1">
      <c r="C591" s="8"/>
      <c r="N591" s="8"/>
    </row>
    <row r="592" ht="15.75" customHeight="1">
      <c r="C592" s="8"/>
      <c r="N592" s="8"/>
    </row>
    <row r="593" ht="15.75" customHeight="1">
      <c r="C593" s="8"/>
      <c r="N593" s="8"/>
    </row>
    <row r="594" ht="15.75" customHeight="1">
      <c r="C594" s="8"/>
      <c r="N594" s="8"/>
    </row>
    <row r="595" ht="15.75" customHeight="1">
      <c r="C595" s="8"/>
      <c r="N595" s="8"/>
    </row>
    <row r="596" ht="15.75" customHeight="1">
      <c r="C596" s="8"/>
      <c r="N596" s="8"/>
    </row>
    <row r="597" ht="15.75" customHeight="1">
      <c r="C597" s="8"/>
      <c r="N597" s="8"/>
    </row>
    <row r="598" ht="15.75" customHeight="1">
      <c r="C598" s="8"/>
      <c r="N598" s="8"/>
    </row>
    <row r="599" ht="15.75" customHeight="1">
      <c r="C599" s="8"/>
      <c r="N599" s="8"/>
    </row>
    <row r="600" ht="15.75" customHeight="1">
      <c r="C600" s="8"/>
      <c r="N600" s="8"/>
    </row>
    <row r="601" ht="15.75" customHeight="1">
      <c r="C601" s="8"/>
      <c r="N601" s="8"/>
    </row>
    <row r="602" ht="15.75" customHeight="1">
      <c r="C602" s="8"/>
      <c r="N602" s="8"/>
    </row>
    <row r="603" ht="15.75" customHeight="1">
      <c r="C603" s="8"/>
      <c r="N603" s="8"/>
    </row>
    <row r="604" ht="15.75" customHeight="1">
      <c r="C604" s="8"/>
      <c r="N604" s="8"/>
    </row>
    <row r="605" ht="15.75" customHeight="1">
      <c r="C605" s="8"/>
      <c r="N605" s="8"/>
    </row>
    <row r="606" ht="15.75" customHeight="1">
      <c r="C606" s="8"/>
      <c r="N606" s="8"/>
    </row>
    <row r="607" ht="15.75" customHeight="1">
      <c r="C607" s="8"/>
      <c r="N607" s="8"/>
    </row>
    <row r="608" ht="15.75" customHeight="1">
      <c r="C608" s="8"/>
      <c r="N608" s="8"/>
    </row>
    <row r="609" ht="15.75" customHeight="1">
      <c r="C609" s="8"/>
      <c r="N609" s="8"/>
    </row>
    <row r="610" ht="15.75" customHeight="1">
      <c r="C610" s="8"/>
      <c r="N610" s="8"/>
    </row>
    <row r="611" ht="15.75" customHeight="1">
      <c r="C611" s="8"/>
      <c r="N611" s="8"/>
    </row>
    <row r="612" ht="15.75" customHeight="1">
      <c r="C612" s="8"/>
      <c r="N612" s="8"/>
    </row>
    <row r="613" ht="15.75" customHeight="1">
      <c r="C613" s="8"/>
      <c r="N613" s="8"/>
    </row>
    <row r="614" ht="15.75" customHeight="1">
      <c r="C614" s="8"/>
      <c r="N614" s="8"/>
    </row>
    <row r="615" ht="15.75" customHeight="1">
      <c r="C615" s="8"/>
      <c r="N615" s="8"/>
    </row>
    <row r="616" ht="15.75" customHeight="1">
      <c r="C616" s="8"/>
      <c r="N616" s="8"/>
    </row>
    <row r="617" ht="15.75" customHeight="1">
      <c r="C617" s="8"/>
      <c r="N617" s="8"/>
    </row>
    <row r="618" ht="15.75" customHeight="1">
      <c r="C618" s="8"/>
      <c r="N618" s="8"/>
    </row>
    <row r="619" ht="15.75" customHeight="1">
      <c r="C619" s="8"/>
      <c r="N619" s="8"/>
    </row>
    <row r="620" ht="15.75" customHeight="1">
      <c r="C620" s="8"/>
      <c r="N620" s="8"/>
    </row>
    <row r="621" ht="15.75" customHeight="1">
      <c r="C621" s="8"/>
      <c r="N621" s="8"/>
    </row>
    <row r="622" ht="15.75" customHeight="1">
      <c r="C622" s="8"/>
      <c r="N622" s="8"/>
    </row>
    <row r="623" ht="15.75" customHeight="1">
      <c r="C623" s="8"/>
      <c r="N623" s="8"/>
    </row>
    <row r="624" ht="15.75" customHeight="1">
      <c r="C624" s="8"/>
      <c r="N624" s="8"/>
    </row>
    <row r="625" ht="15.75" customHeight="1">
      <c r="C625" s="8"/>
      <c r="N625" s="8"/>
    </row>
    <row r="626" ht="15.75" customHeight="1">
      <c r="C626" s="8"/>
      <c r="N626" s="8"/>
    </row>
    <row r="627" ht="15.75" customHeight="1">
      <c r="C627" s="8"/>
      <c r="N627" s="8"/>
    </row>
    <row r="628" ht="15.75" customHeight="1">
      <c r="C628" s="8"/>
      <c r="N628" s="8"/>
    </row>
    <row r="629" ht="15.75" customHeight="1">
      <c r="C629" s="8"/>
      <c r="N629" s="8"/>
    </row>
    <row r="630" ht="15.75" customHeight="1">
      <c r="C630" s="8"/>
      <c r="N630" s="8"/>
    </row>
    <row r="631" ht="15.75" customHeight="1">
      <c r="C631" s="8"/>
      <c r="N631" s="8"/>
    </row>
    <row r="632" ht="15.75" customHeight="1">
      <c r="C632" s="8"/>
      <c r="N632" s="8"/>
    </row>
    <row r="633" ht="15.75" customHeight="1">
      <c r="C633" s="8"/>
      <c r="N633" s="8"/>
    </row>
    <row r="634" ht="15.75" customHeight="1">
      <c r="C634" s="8"/>
      <c r="N634" s="8"/>
    </row>
    <row r="635" ht="15.75" customHeight="1">
      <c r="C635" s="8"/>
      <c r="N635" s="8"/>
    </row>
    <row r="636" ht="15.75" customHeight="1">
      <c r="C636" s="8"/>
      <c r="N636" s="8"/>
    </row>
    <row r="637" ht="15.75" customHeight="1">
      <c r="C637" s="8"/>
      <c r="N637" s="8"/>
    </row>
    <row r="638" ht="15.75" customHeight="1">
      <c r="C638" s="8"/>
      <c r="N638" s="8"/>
    </row>
    <row r="639" ht="15.75" customHeight="1">
      <c r="C639" s="8"/>
      <c r="N639" s="8"/>
    </row>
    <row r="640" ht="15.75" customHeight="1">
      <c r="C640" s="8"/>
      <c r="N640" s="8"/>
    </row>
    <row r="641" ht="15.75" customHeight="1">
      <c r="C641" s="8"/>
      <c r="N641" s="8"/>
    </row>
    <row r="642" ht="15.75" customHeight="1">
      <c r="C642" s="8"/>
      <c r="N642" s="8"/>
    </row>
    <row r="643" ht="15.75" customHeight="1">
      <c r="C643" s="8"/>
      <c r="N643" s="8"/>
    </row>
    <row r="644" ht="15.75" customHeight="1">
      <c r="C644" s="8"/>
      <c r="N644" s="8"/>
    </row>
    <row r="645" ht="15.75" customHeight="1">
      <c r="C645" s="8"/>
      <c r="N645" s="8"/>
    </row>
    <row r="646" ht="15.75" customHeight="1">
      <c r="C646" s="8"/>
      <c r="N646" s="8"/>
    </row>
    <row r="647" ht="15.75" customHeight="1">
      <c r="C647" s="8"/>
      <c r="N647" s="8"/>
    </row>
    <row r="648" ht="15.75" customHeight="1">
      <c r="C648" s="8"/>
      <c r="N648" s="8"/>
    </row>
    <row r="649" ht="15.75" customHeight="1">
      <c r="C649" s="8"/>
      <c r="N649" s="8"/>
    </row>
    <row r="650" ht="15.75" customHeight="1">
      <c r="C650" s="8"/>
      <c r="N650" s="8"/>
    </row>
    <row r="651" ht="15.75" customHeight="1">
      <c r="C651" s="8"/>
      <c r="N651" s="8"/>
    </row>
    <row r="652" ht="15.75" customHeight="1">
      <c r="C652" s="8"/>
      <c r="N652" s="8"/>
    </row>
    <row r="653" ht="15.75" customHeight="1">
      <c r="C653" s="8"/>
      <c r="N653" s="8"/>
    </row>
    <row r="654" ht="15.75" customHeight="1">
      <c r="C654" s="8"/>
      <c r="N654" s="8"/>
    </row>
    <row r="655" ht="15.75" customHeight="1">
      <c r="C655" s="8"/>
      <c r="N655" s="8"/>
    </row>
    <row r="656" ht="15.75" customHeight="1">
      <c r="C656" s="8"/>
      <c r="N656" s="8"/>
    </row>
    <row r="657" ht="15.75" customHeight="1">
      <c r="C657" s="8"/>
      <c r="N657" s="8"/>
    </row>
    <row r="658" ht="15.75" customHeight="1">
      <c r="C658" s="8"/>
      <c r="N658" s="8"/>
    </row>
    <row r="659" ht="15.75" customHeight="1">
      <c r="C659" s="8"/>
      <c r="N659" s="8"/>
    </row>
    <row r="660" ht="15.75" customHeight="1">
      <c r="C660" s="8"/>
      <c r="N660" s="8"/>
    </row>
    <row r="661" ht="15.75" customHeight="1">
      <c r="C661" s="8"/>
      <c r="N661" s="8"/>
    </row>
    <row r="662" ht="15.75" customHeight="1">
      <c r="C662" s="8"/>
      <c r="N662" s="8"/>
    </row>
    <row r="663" ht="15.75" customHeight="1">
      <c r="C663" s="8"/>
      <c r="N663" s="8"/>
    </row>
    <row r="664" ht="15.75" customHeight="1">
      <c r="C664" s="8"/>
      <c r="N664" s="8"/>
    </row>
    <row r="665" ht="15.75" customHeight="1">
      <c r="C665" s="8"/>
      <c r="N665" s="8"/>
    </row>
    <row r="666" ht="15.75" customHeight="1">
      <c r="C666" s="8"/>
      <c r="N666" s="8"/>
    </row>
    <row r="667" ht="15.75" customHeight="1">
      <c r="C667" s="8"/>
      <c r="N667" s="8"/>
    </row>
    <row r="668" ht="15.75" customHeight="1">
      <c r="C668" s="8"/>
      <c r="N668" s="8"/>
    </row>
    <row r="669" ht="15.75" customHeight="1">
      <c r="C669" s="8"/>
      <c r="N669" s="8"/>
    </row>
    <row r="670" ht="15.75" customHeight="1">
      <c r="C670" s="8"/>
      <c r="N670" s="8"/>
    </row>
    <row r="671" ht="15.75" customHeight="1">
      <c r="C671" s="8"/>
      <c r="N671" s="8"/>
    </row>
    <row r="672" ht="15.75" customHeight="1">
      <c r="C672" s="8"/>
      <c r="N672" s="8"/>
    </row>
    <row r="673" ht="15.75" customHeight="1">
      <c r="C673" s="8"/>
      <c r="N673" s="8"/>
    </row>
    <row r="674" ht="15.75" customHeight="1">
      <c r="C674" s="8"/>
      <c r="N674" s="8"/>
    </row>
    <row r="675" ht="15.75" customHeight="1">
      <c r="C675" s="8"/>
      <c r="N675" s="8"/>
    </row>
    <row r="676" ht="15.75" customHeight="1">
      <c r="C676" s="8"/>
      <c r="N676" s="8"/>
    </row>
    <row r="677" ht="15.75" customHeight="1">
      <c r="C677" s="8"/>
      <c r="N677" s="8"/>
    </row>
    <row r="678" ht="15.75" customHeight="1">
      <c r="C678" s="8"/>
      <c r="N678" s="8"/>
    </row>
    <row r="679" ht="15.75" customHeight="1">
      <c r="C679" s="8"/>
      <c r="N679" s="8"/>
    </row>
    <row r="680" ht="15.75" customHeight="1">
      <c r="C680" s="8"/>
      <c r="N680" s="8"/>
    </row>
    <row r="681" ht="15.75" customHeight="1">
      <c r="C681" s="8"/>
      <c r="N681" s="8"/>
    </row>
    <row r="682" ht="15.75" customHeight="1">
      <c r="C682" s="8"/>
      <c r="N682" s="8"/>
    </row>
    <row r="683" ht="15.75" customHeight="1">
      <c r="C683" s="8"/>
      <c r="N683" s="8"/>
    </row>
    <row r="684" ht="15.75" customHeight="1">
      <c r="C684" s="8"/>
      <c r="N684" s="8"/>
    </row>
    <row r="685" ht="15.75" customHeight="1">
      <c r="C685" s="8"/>
      <c r="N685" s="8"/>
    </row>
    <row r="686" ht="15.75" customHeight="1">
      <c r="C686" s="8"/>
      <c r="N686" s="8"/>
    </row>
    <row r="687" ht="15.75" customHeight="1">
      <c r="C687" s="8"/>
      <c r="N687" s="8"/>
    </row>
    <row r="688" ht="15.75" customHeight="1">
      <c r="C688" s="8"/>
      <c r="N688" s="8"/>
    </row>
    <row r="689" ht="15.75" customHeight="1">
      <c r="C689" s="8"/>
      <c r="N689" s="8"/>
    </row>
    <row r="690" ht="15.75" customHeight="1">
      <c r="C690" s="8"/>
      <c r="N690" s="8"/>
    </row>
    <row r="691" ht="15.75" customHeight="1">
      <c r="C691" s="8"/>
      <c r="N691" s="8"/>
    </row>
    <row r="692" ht="15.75" customHeight="1">
      <c r="C692" s="8"/>
      <c r="N692" s="8"/>
    </row>
    <row r="693" ht="15.75" customHeight="1">
      <c r="C693" s="8"/>
      <c r="N693" s="8"/>
    </row>
    <row r="694" ht="15.75" customHeight="1">
      <c r="C694" s="8"/>
      <c r="N694" s="8"/>
    </row>
    <row r="695" ht="15.75" customHeight="1">
      <c r="C695" s="8"/>
      <c r="N695" s="8"/>
    </row>
    <row r="696" ht="15.75" customHeight="1">
      <c r="C696" s="8"/>
      <c r="N696" s="8"/>
    </row>
    <row r="697" ht="15.75" customHeight="1">
      <c r="C697" s="8"/>
      <c r="N697" s="8"/>
    </row>
    <row r="698" ht="15.75" customHeight="1">
      <c r="C698" s="8"/>
      <c r="N698" s="8"/>
    </row>
    <row r="699" ht="15.75" customHeight="1">
      <c r="C699" s="8"/>
      <c r="N699" s="8"/>
    </row>
    <row r="700" ht="15.75" customHeight="1">
      <c r="C700" s="8"/>
      <c r="N700" s="8"/>
    </row>
    <row r="701" ht="15.75" customHeight="1">
      <c r="C701" s="8"/>
      <c r="N701" s="8"/>
    </row>
    <row r="702" ht="15.75" customHeight="1">
      <c r="C702" s="8"/>
      <c r="N702" s="8"/>
    </row>
    <row r="703" ht="15.75" customHeight="1">
      <c r="C703" s="8"/>
      <c r="N703" s="8"/>
    </row>
    <row r="704" ht="15.75" customHeight="1">
      <c r="C704" s="8"/>
      <c r="N704" s="8"/>
    </row>
    <row r="705" ht="15.75" customHeight="1">
      <c r="C705" s="8"/>
      <c r="N705" s="8"/>
    </row>
    <row r="706" ht="15.75" customHeight="1">
      <c r="C706" s="8"/>
      <c r="N706" s="8"/>
    </row>
    <row r="707" ht="15.75" customHeight="1">
      <c r="C707" s="8"/>
      <c r="N707" s="8"/>
    </row>
    <row r="708" ht="15.75" customHeight="1">
      <c r="C708" s="8"/>
      <c r="N708" s="8"/>
    </row>
    <row r="709" ht="15.75" customHeight="1">
      <c r="C709" s="8"/>
      <c r="N709" s="8"/>
    </row>
    <row r="710" ht="15.75" customHeight="1">
      <c r="C710" s="8"/>
      <c r="N710" s="8"/>
    </row>
    <row r="711" ht="15.75" customHeight="1">
      <c r="C711" s="8"/>
      <c r="N711" s="8"/>
    </row>
    <row r="712" ht="15.75" customHeight="1">
      <c r="C712" s="8"/>
      <c r="N712" s="8"/>
    </row>
    <row r="713" ht="15.75" customHeight="1">
      <c r="C713" s="8"/>
      <c r="N713" s="8"/>
    </row>
    <row r="714" ht="15.75" customHeight="1">
      <c r="C714" s="8"/>
      <c r="N714" s="8"/>
    </row>
    <row r="715" ht="15.75" customHeight="1">
      <c r="C715" s="8"/>
      <c r="N715" s="8"/>
    </row>
    <row r="716" ht="15.75" customHeight="1">
      <c r="C716" s="8"/>
      <c r="N716" s="8"/>
    </row>
    <row r="717" ht="15.75" customHeight="1">
      <c r="C717" s="8"/>
      <c r="N717" s="8"/>
    </row>
    <row r="718" ht="15.75" customHeight="1">
      <c r="C718" s="8"/>
      <c r="N718" s="8"/>
    </row>
    <row r="719" ht="15.75" customHeight="1">
      <c r="C719" s="8"/>
      <c r="N719" s="8"/>
    </row>
    <row r="720" ht="15.75" customHeight="1">
      <c r="C720" s="8"/>
      <c r="N720" s="8"/>
    </row>
    <row r="721" ht="15.75" customHeight="1">
      <c r="C721" s="8"/>
      <c r="N721" s="8"/>
    </row>
    <row r="722" ht="15.75" customHeight="1">
      <c r="C722" s="8"/>
      <c r="N722" s="8"/>
    </row>
    <row r="723" ht="15.75" customHeight="1">
      <c r="C723" s="8"/>
      <c r="N723" s="8"/>
    </row>
    <row r="724" ht="15.75" customHeight="1">
      <c r="C724" s="8"/>
      <c r="N724" s="8"/>
    </row>
    <row r="725" ht="15.75" customHeight="1">
      <c r="C725" s="8"/>
      <c r="N725" s="8"/>
    </row>
    <row r="726" ht="15.75" customHeight="1">
      <c r="C726" s="8"/>
      <c r="N726" s="8"/>
    </row>
    <row r="727" ht="15.75" customHeight="1">
      <c r="C727" s="8"/>
      <c r="N727" s="8"/>
    </row>
    <row r="728" ht="15.75" customHeight="1">
      <c r="C728" s="8"/>
      <c r="N728" s="8"/>
    </row>
    <row r="729" ht="15.75" customHeight="1">
      <c r="C729" s="8"/>
      <c r="N729" s="8"/>
    </row>
    <row r="730" ht="15.75" customHeight="1">
      <c r="C730" s="8"/>
      <c r="N730" s="8"/>
    </row>
    <row r="731" ht="15.75" customHeight="1">
      <c r="C731" s="8"/>
      <c r="N731" s="8"/>
    </row>
    <row r="732" ht="15.75" customHeight="1">
      <c r="C732" s="8"/>
      <c r="N732" s="8"/>
    </row>
    <row r="733" ht="15.75" customHeight="1">
      <c r="C733" s="8"/>
      <c r="N733" s="8"/>
    </row>
    <row r="734" ht="15.75" customHeight="1">
      <c r="C734" s="8"/>
      <c r="N734" s="8"/>
    </row>
    <row r="735" ht="15.75" customHeight="1">
      <c r="C735" s="8"/>
      <c r="N735" s="8"/>
    </row>
    <row r="736" ht="15.75" customHeight="1">
      <c r="C736" s="8"/>
      <c r="N736" s="8"/>
    </row>
    <row r="737" ht="15.75" customHeight="1">
      <c r="C737" s="8"/>
      <c r="N737" s="8"/>
    </row>
    <row r="738" ht="15.75" customHeight="1">
      <c r="C738" s="8"/>
      <c r="N738" s="8"/>
    </row>
    <row r="739" ht="15.75" customHeight="1">
      <c r="C739" s="8"/>
      <c r="N739" s="8"/>
    </row>
    <row r="740" ht="15.75" customHeight="1">
      <c r="C740" s="8"/>
      <c r="N740" s="8"/>
    </row>
    <row r="741" ht="15.75" customHeight="1">
      <c r="C741" s="8"/>
      <c r="N741" s="8"/>
    </row>
    <row r="742" ht="15.75" customHeight="1">
      <c r="C742" s="8"/>
      <c r="N742" s="8"/>
    </row>
    <row r="743" ht="15.75" customHeight="1">
      <c r="C743" s="8"/>
      <c r="N743" s="8"/>
    </row>
    <row r="744" ht="15.75" customHeight="1">
      <c r="C744" s="8"/>
      <c r="N744" s="8"/>
    </row>
    <row r="745" ht="15.75" customHeight="1">
      <c r="C745" s="8"/>
      <c r="N745" s="8"/>
    </row>
    <row r="746" ht="15.75" customHeight="1">
      <c r="C746" s="8"/>
      <c r="N746" s="8"/>
    </row>
    <row r="747" ht="15.75" customHeight="1">
      <c r="C747" s="8"/>
      <c r="N747" s="8"/>
    </row>
    <row r="748" ht="15.75" customHeight="1">
      <c r="C748" s="8"/>
      <c r="N748" s="8"/>
    </row>
    <row r="749" ht="15.75" customHeight="1">
      <c r="C749" s="8"/>
      <c r="N749" s="8"/>
    </row>
    <row r="750" ht="15.75" customHeight="1">
      <c r="C750" s="8"/>
      <c r="N750" s="8"/>
    </row>
    <row r="751" ht="15.75" customHeight="1">
      <c r="C751" s="8"/>
      <c r="N751" s="8"/>
    </row>
    <row r="752" ht="15.75" customHeight="1">
      <c r="C752" s="8"/>
      <c r="N752" s="8"/>
    </row>
    <row r="753" ht="15.75" customHeight="1">
      <c r="C753" s="8"/>
      <c r="N753" s="8"/>
    </row>
    <row r="754" ht="15.75" customHeight="1">
      <c r="C754" s="8"/>
      <c r="N754" s="8"/>
    </row>
    <row r="755" ht="15.75" customHeight="1">
      <c r="C755" s="8"/>
      <c r="N755" s="8"/>
    </row>
    <row r="756" ht="15.75" customHeight="1">
      <c r="C756" s="8"/>
      <c r="N756" s="8"/>
    </row>
    <row r="757" ht="15.75" customHeight="1">
      <c r="C757" s="8"/>
      <c r="N757" s="8"/>
    </row>
    <row r="758" ht="15.75" customHeight="1">
      <c r="C758" s="8"/>
      <c r="N758" s="8"/>
    </row>
    <row r="759" ht="15.75" customHeight="1">
      <c r="C759" s="8"/>
      <c r="N759" s="8"/>
    </row>
    <row r="760" ht="15.75" customHeight="1">
      <c r="C760" s="8"/>
      <c r="N760" s="8"/>
    </row>
    <row r="761" ht="15.75" customHeight="1">
      <c r="C761" s="8"/>
      <c r="N761" s="8"/>
    </row>
    <row r="762" ht="15.75" customHeight="1">
      <c r="C762" s="8"/>
      <c r="N762" s="8"/>
    </row>
    <row r="763" ht="15.75" customHeight="1">
      <c r="C763" s="8"/>
      <c r="N763" s="8"/>
    </row>
    <row r="764" ht="15.75" customHeight="1">
      <c r="C764" s="8"/>
      <c r="N764" s="8"/>
    </row>
    <row r="765" ht="15.75" customHeight="1">
      <c r="C765" s="8"/>
      <c r="N765" s="8"/>
    </row>
    <row r="766" ht="15.75" customHeight="1">
      <c r="C766" s="8"/>
      <c r="N766" s="8"/>
    </row>
    <row r="767" ht="15.75" customHeight="1">
      <c r="C767" s="8"/>
      <c r="N767" s="8"/>
    </row>
    <row r="768" ht="15.75" customHeight="1">
      <c r="C768" s="8"/>
      <c r="N768" s="8"/>
    </row>
    <row r="769" ht="15.75" customHeight="1">
      <c r="C769" s="8"/>
      <c r="N769" s="8"/>
    </row>
    <row r="770" ht="15.75" customHeight="1">
      <c r="C770" s="8"/>
      <c r="N770" s="8"/>
    </row>
    <row r="771" ht="15.75" customHeight="1">
      <c r="C771" s="8"/>
      <c r="N771" s="8"/>
    </row>
    <row r="772" ht="15.75" customHeight="1">
      <c r="C772" s="8"/>
      <c r="N772" s="8"/>
    </row>
    <row r="773" ht="15.75" customHeight="1">
      <c r="C773" s="8"/>
      <c r="N773" s="8"/>
    </row>
    <row r="774" ht="15.75" customHeight="1">
      <c r="C774" s="8"/>
      <c r="N774" s="8"/>
    </row>
    <row r="775" ht="15.75" customHeight="1">
      <c r="C775" s="8"/>
      <c r="N775" s="8"/>
    </row>
    <row r="776" ht="15.75" customHeight="1">
      <c r="C776" s="8"/>
      <c r="N776" s="8"/>
    </row>
    <row r="777" ht="15.75" customHeight="1">
      <c r="C777" s="8"/>
      <c r="N777" s="8"/>
    </row>
    <row r="778" ht="15.75" customHeight="1">
      <c r="C778" s="8"/>
      <c r="N778" s="8"/>
    </row>
    <row r="779" ht="15.75" customHeight="1">
      <c r="C779" s="8"/>
      <c r="N779" s="8"/>
    </row>
    <row r="780" ht="15.75" customHeight="1">
      <c r="C780" s="8"/>
      <c r="N780" s="8"/>
    </row>
    <row r="781" ht="15.75" customHeight="1">
      <c r="C781" s="8"/>
      <c r="N781" s="8"/>
    </row>
    <row r="782" ht="15.75" customHeight="1">
      <c r="C782" s="8"/>
      <c r="N782" s="8"/>
    </row>
    <row r="783" ht="15.75" customHeight="1">
      <c r="C783" s="8"/>
      <c r="N783" s="8"/>
    </row>
    <row r="784" ht="15.75" customHeight="1">
      <c r="C784" s="8"/>
      <c r="N784" s="8"/>
    </row>
    <row r="785" ht="15.75" customHeight="1">
      <c r="C785" s="8"/>
      <c r="N785" s="8"/>
    </row>
    <row r="786" ht="15.75" customHeight="1">
      <c r="C786" s="8"/>
      <c r="N786" s="8"/>
    </row>
    <row r="787" ht="15.75" customHeight="1">
      <c r="C787" s="8"/>
      <c r="N787" s="8"/>
    </row>
    <row r="788" ht="15.75" customHeight="1">
      <c r="C788" s="8"/>
      <c r="N788" s="8"/>
    </row>
    <row r="789" ht="15.75" customHeight="1">
      <c r="C789" s="8"/>
      <c r="N789" s="8"/>
    </row>
    <row r="790" ht="15.75" customHeight="1">
      <c r="C790" s="8"/>
      <c r="N790" s="8"/>
    </row>
    <row r="791" ht="15.75" customHeight="1">
      <c r="C791" s="8"/>
      <c r="N791" s="8"/>
    </row>
    <row r="792" ht="15.75" customHeight="1">
      <c r="C792" s="8"/>
      <c r="N792" s="8"/>
    </row>
    <row r="793" ht="15.75" customHeight="1">
      <c r="C793" s="8"/>
      <c r="N793" s="8"/>
    </row>
    <row r="794" ht="15.75" customHeight="1">
      <c r="C794" s="8"/>
      <c r="N794" s="8"/>
    </row>
    <row r="795" ht="15.75" customHeight="1">
      <c r="C795" s="8"/>
      <c r="N795" s="8"/>
    </row>
    <row r="796" ht="15.75" customHeight="1">
      <c r="C796" s="8"/>
      <c r="N796" s="8"/>
    </row>
    <row r="797" ht="15.75" customHeight="1">
      <c r="C797" s="8"/>
      <c r="N797" s="8"/>
    </row>
    <row r="798" ht="15.75" customHeight="1">
      <c r="C798" s="8"/>
      <c r="N798" s="8"/>
    </row>
    <row r="799" ht="15.75" customHeight="1">
      <c r="C799" s="8"/>
      <c r="N799" s="8"/>
    </row>
    <row r="800" ht="15.75" customHeight="1">
      <c r="C800" s="8"/>
      <c r="N800" s="8"/>
    </row>
    <row r="801" ht="15.75" customHeight="1">
      <c r="C801" s="8"/>
      <c r="N801" s="8"/>
    </row>
    <row r="802" ht="15.75" customHeight="1">
      <c r="C802" s="8"/>
      <c r="N802" s="8"/>
    </row>
    <row r="803" ht="15.75" customHeight="1">
      <c r="C803" s="8"/>
      <c r="N803" s="8"/>
    </row>
    <row r="804" ht="15.75" customHeight="1">
      <c r="C804" s="8"/>
      <c r="N804" s="8"/>
    </row>
    <row r="805" ht="15.75" customHeight="1">
      <c r="C805" s="8"/>
      <c r="N805" s="8"/>
    </row>
    <row r="806" ht="15.75" customHeight="1">
      <c r="C806" s="8"/>
      <c r="N806" s="8"/>
    </row>
    <row r="807" ht="15.75" customHeight="1">
      <c r="C807" s="8"/>
      <c r="N807" s="8"/>
    </row>
    <row r="808" ht="15.75" customHeight="1">
      <c r="C808" s="8"/>
      <c r="N808" s="8"/>
    </row>
    <row r="809" ht="15.75" customHeight="1">
      <c r="C809" s="8"/>
      <c r="N809" s="8"/>
    </row>
    <row r="810" ht="15.75" customHeight="1">
      <c r="C810" s="8"/>
      <c r="N810" s="8"/>
    </row>
    <row r="811" ht="15.75" customHeight="1">
      <c r="C811" s="8"/>
      <c r="N811" s="8"/>
    </row>
    <row r="812" ht="15.75" customHeight="1">
      <c r="C812" s="8"/>
      <c r="N812" s="8"/>
    </row>
    <row r="813" ht="15.75" customHeight="1">
      <c r="C813" s="8"/>
      <c r="N813" s="8"/>
    </row>
    <row r="814" ht="15.75" customHeight="1">
      <c r="C814" s="8"/>
      <c r="N814" s="8"/>
    </row>
    <row r="815" ht="15.75" customHeight="1">
      <c r="C815" s="8"/>
      <c r="N815" s="8"/>
    </row>
    <row r="816" ht="15.75" customHeight="1">
      <c r="C816" s="8"/>
      <c r="N816" s="8"/>
    </row>
    <row r="817" ht="15.75" customHeight="1">
      <c r="C817" s="8"/>
      <c r="N817" s="8"/>
    </row>
    <row r="818" ht="15.75" customHeight="1">
      <c r="C818" s="8"/>
      <c r="N818" s="8"/>
    </row>
    <row r="819" ht="15.75" customHeight="1">
      <c r="C819" s="8"/>
      <c r="N819" s="8"/>
    </row>
    <row r="820" ht="15.75" customHeight="1">
      <c r="C820" s="8"/>
      <c r="N820" s="8"/>
    </row>
    <row r="821" ht="15.75" customHeight="1">
      <c r="C821" s="8"/>
      <c r="N821" s="8"/>
    </row>
    <row r="822" ht="15.75" customHeight="1">
      <c r="C822" s="8"/>
      <c r="N822" s="8"/>
    </row>
    <row r="823" ht="15.75" customHeight="1">
      <c r="C823" s="8"/>
      <c r="N823" s="8"/>
    </row>
    <row r="824" ht="15.75" customHeight="1">
      <c r="C824" s="8"/>
      <c r="N824" s="8"/>
    </row>
    <row r="825" ht="15.75" customHeight="1">
      <c r="C825" s="8"/>
      <c r="N825" s="8"/>
    </row>
    <row r="826" ht="15.75" customHeight="1">
      <c r="C826" s="8"/>
      <c r="N826" s="8"/>
    </row>
    <row r="827" ht="15.75" customHeight="1">
      <c r="C827" s="8"/>
      <c r="N827" s="8"/>
    </row>
    <row r="828" ht="15.75" customHeight="1">
      <c r="C828" s="8"/>
      <c r="N828" s="8"/>
    </row>
    <row r="829" ht="15.75" customHeight="1">
      <c r="C829" s="8"/>
      <c r="N829" s="8"/>
    </row>
    <row r="830" ht="15.75" customHeight="1">
      <c r="C830" s="8"/>
      <c r="N830" s="8"/>
    </row>
    <row r="831" ht="15.75" customHeight="1">
      <c r="C831" s="8"/>
      <c r="N831" s="8"/>
    </row>
    <row r="832" ht="15.75" customHeight="1">
      <c r="C832" s="8"/>
      <c r="N832" s="8"/>
    </row>
    <row r="833" ht="15.75" customHeight="1">
      <c r="C833" s="8"/>
      <c r="N833" s="8"/>
    </row>
    <row r="834" ht="15.75" customHeight="1">
      <c r="C834" s="8"/>
      <c r="N834" s="8"/>
    </row>
    <row r="835" ht="15.75" customHeight="1">
      <c r="C835" s="8"/>
      <c r="N835" s="8"/>
    </row>
    <row r="836" ht="15.75" customHeight="1">
      <c r="C836" s="8"/>
      <c r="N836" s="8"/>
    </row>
    <row r="837" ht="15.75" customHeight="1">
      <c r="C837" s="8"/>
      <c r="N837" s="8"/>
    </row>
    <row r="838" ht="15.75" customHeight="1">
      <c r="C838" s="8"/>
      <c r="N838" s="8"/>
    </row>
    <row r="839" ht="15.75" customHeight="1">
      <c r="C839" s="8"/>
      <c r="N839" s="8"/>
    </row>
    <row r="840" ht="15.75" customHeight="1">
      <c r="C840" s="8"/>
      <c r="N840" s="8"/>
    </row>
    <row r="841" ht="15.75" customHeight="1">
      <c r="C841" s="8"/>
      <c r="N841" s="8"/>
    </row>
    <row r="842" ht="15.75" customHeight="1">
      <c r="C842" s="8"/>
      <c r="N842" s="8"/>
    </row>
    <row r="843" ht="15.75" customHeight="1">
      <c r="C843" s="8"/>
      <c r="N843" s="8"/>
    </row>
    <row r="844" ht="15.75" customHeight="1">
      <c r="C844" s="8"/>
      <c r="N844" s="8"/>
    </row>
    <row r="845" ht="15.75" customHeight="1">
      <c r="C845" s="8"/>
      <c r="N845" s="8"/>
    </row>
    <row r="846" ht="15.75" customHeight="1">
      <c r="C846" s="8"/>
      <c r="N846" s="8"/>
    </row>
    <row r="847" ht="15.75" customHeight="1">
      <c r="C847" s="8"/>
      <c r="N847" s="8"/>
    </row>
    <row r="848" ht="15.75" customHeight="1">
      <c r="C848" s="8"/>
      <c r="N848" s="8"/>
    </row>
    <row r="849" ht="15.75" customHeight="1">
      <c r="C849" s="8"/>
      <c r="N849" s="8"/>
    </row>
    <row r="850" ht="15.75" customHeight="1">
      <c r="C850" s="8"/>
      <c r="N850" s="8"/>
    </row>
    <row r="851" ht="15.75" customHeight="1">
      <c r="C851" s="8"/>
      <c r="N851" s="8"/>
    </row>
    <row r="852" ht="15.75" customHeight="1">
      <c r="C852" s="8"/>
      <c r="N852" s="8"/>
    </row>
    <row r="853" ht="15.75" customHeight="1">
      <c r="C853" s="8"/>
      <c r="N853" s="8"/>
    </row>
    <row r="854" ht="15.75" customHeight="1">
      <c r="C854" s="8"/>
      <c r="N854" s="8"/>
    </row>
    <row r="855" ht="15.75" customHeight="1">
      <c r="C855" s="8"/>
      <c r="N855" s="8"/>
    </row>
    <row r="856" ht="15.75" customHeight="1">
      <c r="C856" s="8"/>
      <c r="N856" s="8"/>
    </row>
    <row r="857" ht="15.75" customHeight="1">
      <c r="C857" s="8"/>
      <c r="N857" s="8"/>
    </row>
    <row r="858" ht="15.75" customHeight="1">
      <c r="C858" s="8"/>
      <c r="N858" s="8"/>
    </row>
    <row r="859" ht="15.75" customHeight="1">
      <c r="C859" s="8"/>
      <c r="N859" s="8"/>
    </row>
    <row r="860" ht="15.75" customHeight="1">
      <c r="C860" s="8"/>
      <c r="N860" s="8"/>
    </row>
    <row r="861" ht="15.75" customHeight="1">
      <c r="C861" s="8"/>
      <c r="N861" s="8"/>
    </row>
    <row r="862" ht="15.75" customHeight="1">
      <c r="C862" s="8"/>
      <c r="N862" s="8"/>
    </row>
    <row r="863" ht="15.75" customHeight="1">
      <c r="C863" s="8"/>
      <c r="N863" s="8"/>
    </row>
    <row r="864" ht="15.75" customHeight="1">
      <c r="C864" s="8"/>
      <c r="N864" s="8"/>
    </row>
    <row r="865" ht="15.75" customHeight="1">
      <c r="C865" s="8"/>
      <c r="N865" s="8"/>
    </row>
    <row r="866" ht="15.75" customHeight="1">
      <c r="C866" s="8"/>
      <c r="N866" s="8"/>
    </row>
    <row r="867" ht="15.75" customHeight="1">
      <c r="C867" s="8"/>
      <c r="N867" s="8"/>
    </row>
    <row r="868" ht="15.75" customHeight="1">
      <c r="C868" s="8"/>
      <c r="N868" s="8"/>
    </row>
    <row r="869" ht="15.75" customHeight="1">
      <c r="C869" s="8"/>
      <c r="N869" s="8"/>
    </row>
    <row r="870" ht="15.75" customHeight="1">
      <c r="C870" s="8"/>
      <c r="N870" s="8"/>
    </row>
    <row r="871" ht="15.75" customHeight="1">
      <c r="C871" s="8"/>
      <c r="N871" s="8"/>
    </row>
    <row r="872" ht="15.75" customHeight="1">
      <c r="C872" s="8"/>
      <c r="N872" s="8"/>
    </row>
    <row r="873" ht="15.75" customHeight="1">
      <c r="C873" s="8"/>
      <c r="N873" s="8"/>
    </row>
    <row r="874" ht="15.75" customHeight="1">
      <c r="C874" s="8"/>
      <c r="N874" s="8"/>
    </row>
    <row r="875" ht="15.75" customHeight="1">
      <c r="C875" s="8"/>
      <c r="N875" s="8"/>
    </row>
    <row r="876" ht="15.75" customHeight="1">
      <c r="C876" s="8"/>
      <c r="N876" s="8"/>
    </row>
    <row r="877" ht="15.75" customHeight="1">
      <c r="C877" s="8"/>
      <c r="N877" s="8"/>
    </row>
    <row r="878" ht="15.75" customHeight="1">
      <c r="C878" s="8"/>
      <c r="N878" s="8"/>
    </row>
    <row r="879" ht="15.75" customHeight="1">
      <c r="C879" s="8"/>
      <c r="N879" s="8"/>
    </row>
    <row r="880" ht="15.75" customHeight="1">
      <c r="C880" s="8"/>
      <c r="N880" s="8"/>
    </row>
    <row r="881" ht="15.75" customHeight="1">
      <c r="C881" s="8"/>
      <c r="N881" s="8"/>
    </row>
    <row r="882" ht="15.75" customHeight="1">
      <c r="C882" s="8"/>
      <c r="N882" s="8"/>
    </row>
    <row r="883" ht="15.75" customHeight="1">
      <c r="C883" s="8"/>
      <c r="N883" s="8"/>
    </row>
    <row r="884" ht="15.75" customHeight="1">
      <c r="C884" s="8"/>
      <c r="N884" s="8"/>
    </row>
    <row r="885" ht="15.75" customHeight="1">
      <c r="C885" s="8"/>
      <c r="N885" s="8"/>
    </row>
    <row r="886" ht="15.75" customHeight="1">
      <c r="C886" s="8"/>
      <c r="N886" s="8"/>
    </row>
    <row r="887" ht="15.75" customHeight="1">
      <c r="C887" s="8"/>
      <c r="N887" s="8"/>
    </row>
    <row r="888" ht="15.75" customHeight="1">
      <c r="C888" s="8"/>
      <c r="N888" s="8"/>
    </row>
    <row r="889" ht="15.75" customHeight="1">
      <c r="C889" s="8"/>
      <c r="N889" s="8"/>
    </row>
    <row r="890" ht="15.75" customHeight="1">
      <c r="C890" s="8"/>
      <c r="N890" s="8"/>
    </row>
    <row r="891" ht="15.75" customHeight="1">
      <c r="C891" s="8"/>
      <c r="N891" s="8"/>
    </row>
    <row r="892" ht="15.75" customHeight="1">
      <c r="C892" s="8"/>
      <c r="N892" s="8"/>
    </row>
    <row r="893" ht="15.75" customHeight="1">
      <c r="C893" s="8"/>
      <c r="N893" s="8"/>
    </row>
    <row r="894" ht="15.75" customHeight="1">
      <c r="C894" s="8"/>
      <c r="N894" s="8"/>
    </row>
    <row r="895" ht="15.75" customHeight="1">
      <c r="C895" s="8"/>
      <c r="N895" s="8"/>
    </row>
    <row r="896" ht="15.75" customHeight="1">
      <c r="C896" s="8"/>
      <c r="N896" s="8"/>
    </row>
    <row r="897" ht="15.75" customHeight="1">
      <c r="C897" s="8"/>
      <c r="N897" s="8"/>
    </row>
    <row r="898" ht="15.75" customHeight="1">
      <c r="C898" s="8"/>
      <c r="N898" s="8"/>
    </row>
    <row r="899" ht="15.75" customHeight="1">
      <c r="C899" s="8"/>
      <c r="N899" s="8"/>
    </row>
    <row r="900" ht="15.75" customHeight="1">
      <c r="C900" s="8"/>
      <c r="N900" s="8"/>
    </row>
    <row r="901" ht="15.75" customHeight="1">
      <c r="C901" s="8"/>
      <c r="N901" s="8"/>
    </row>
    <row r="902" ht="15.75" customHeight="1">
      <c r="C902" s="8"/>
      <c r="N902" s="8"/>
    </row>
    <row r="903" ht="15.75" customHeight="1">
      <c r="C903" s="8"/>
      <c r="N903" s="8"/>
    </row>
    <row r="904" ht="15.75" customHeight="1">
      <c r="C904" s="8"/>
      <c r="N904" s="8"/>
    </row>
    <row r="905" ht="15.75" customHeight="1">
      <c r="C905" s="8"/>
      <c r="N905" s="8"/>
    </row>
    <row r="906" ht="15.75" customHeight="1">
      <c r="C906" s="8"/>
      <c r="N906" s="8"/>
    </row>
    <row r="907" ht="15.75" customHeight="1">
      <c r="C907" s="8"/>
      <c r="N907" s="8"/>
    </row>
    <row r="908" ht="15.75" customHeight="1">
      <c r="C908" s="8"/>
      <c r="N908" s="8"/>
    </row>
    <row r="909" ht="15.75" customHeight="1">
      <c r="C909" s="8"/>
      <c r="N909" s="8"/>
    </row>
    <row r="910" ht="15.75" customHeight="1">
      <c r="C910" s="8"/>
      <c r="N910" s="8"/>
    </row>
    <row r="911" ht="15.75" customHeight="1">
      <c r="C911" s="8"/>
      <c r="N911" s="8"/>
    </row>
    <row r="912" ht="15.75" customHeight="1">
      <c r="C912" s="8"/>
      <c r="N912" s="8"/>
    </row>
    <row r="913" ht="15.75" customHeight="1">
      <c r="C913" s="8"/>
      <c r="N913" s="8"/>
    </row>
    <row r="914" ht="15.75" customHeight="1">
      <c r="C914" s="8"/>
      <c r="N914" s="8"/>
    </row>
    <row r="915" ht="15.75" customHeight="1">
      <c r="C915" s="8"/>
      <c r="N915" s="8"/>
    </row>
    <row r="916" ht="15.75" customHeight="1">
      <c r="C916" s="8"/>
      <c r="N916" s="8"/>
    </row>
    <row r="917" ht="15.75" customHeight="1">
      <c r="C917" s="8"/>
      <c r="N917" s="8"/>
    </row>
    <row r="918" ht="15.75" customHeight="1">
      <c r="C918" s="8"/>
      <c r="N918" s="8"/>
    </row>
    <row r="919" ht="15.75" customHeight="1">
      <c r="C919" s="8"/>
      <c r="N919" s="8"/>
    </row>
    <row r="920" ht="15.75" customHeight="1">
      <c r="C920" s="8"/>
      <c r="N920" s="8"/>
    </row>
    <row r="921" ht="15.75" customHeight="1">
      <c r="C921" s="8"/>
      <c r="N921" s="8"/>
    </row>
    <row r="922" ht="15.75" customHeight="1">
      <c r="C922" s="8"/>
      <c r="N922" s="8"/>
    </row>
    <row r="923" ht="15.75" customHeight="1">
      <c r="C923" s="8"/>
      <c r="N923" s="8"/>
    </row>
    <row r="924" ht="15.75" customHeight="1">
      <c r="C924" s="8"/>
      <c r="N924" s="8"/>
    </row>
    <row r="925" ht="15.75" customHeight="1">
      <c r="C925" s="8"/>
      <c r="N925" s="8"/>
    </row>
    <row r="926" ht="15.75" customHeight="1">
      <c r="C926" s="8"/>
      <c r="N926" s="8"/>
    </row>
    <row r="927" ht="15.75" customHeight="1">
      <c r="C927" s="8"/>
      <c r="N927" s="8"/>
    </row>
    <row r="928" ht="15.75" customHeight="1">
      <c r="C928" s="8"/>
      <c r="N928" s="8"/>
    </row>
    <row r="929" ht="15.75" customHeight="1">
      <c r="C929" s="8"/>
      <c r="N929" s="8"/>
    </row>
    <row r="930" ht="15.75" customHeight="1">
      <c r="C930" s="8"/>
      <c r="N930" s="8"/>
    </row>
    <row r="931" ht="15.75" customHeight="1">
      <c r="C931" s="8"/>
      <c r="N931" s="8"/>
    </row>
    <row r="932" ht="15.75" customHeight="1">
      <c r="C932" s="8"/>
      <c r="N932" s="8"/>
    </row>
    <row r="933" ht="15.75" customHeight="1">
      <c r="C933" s="8"/>
      <c r="N933" s="8"/>
    </row>
    <row r="934" ht="15.75" customHeight="1">
      <c r="C934" s="8"/>
      <c r="N934" s="8"/>
    </row>
    <row r="935" ht="15.75" customHeight="1">
      <c r="C935" s="8"/>
      <c r="N935" s="8"/>
    </row>
    <row r="936" ht="15.75" customHeight="1">
      <c r="C936" s="8"/>
      <c r="N936" s="8"/>
    </row>
    <row r="937" ht="15.75" customHeight="1">
      <c r="C937" s="8"/>
      <c r="N937" s="8"/>
    </row>
    <row r="938" ht="15.75" customHeight="1">
      <c r="C938" s="8"/>
      <c r="N938" s="8"/>
    </row>
    <row r="939" ht="15.75" customHeight="1">
      <c r="C939" s="8"/>
      <c r="N939" s="8"/>
    </row>
    <row r="940" ht="15.75" customHeight="1">
      <c r="C940" s="8"/>
      <c r="N940" s="8"/>
    </row>
    <row r="941" ht="15.75" customHeight="1">
      <c r="C941" s="8"/>
      <c r="N941" s="8"/>
    </row>
    <row r="942" ht="15.75" customHeight="1">
      <c r="C942" s="8"/>
      <c r="N942" s="8"/>
    </row>
    <row r="943" ht="15.75" customHeight="1">
      <c r="C943" s="8"/>
      <c r="N943" s="8"/>
    </row>
    <row r="944" ht="15.75" customHeight="1">
      <c r="C944" s="8"/>
      <c r="N944" s="8"/>
    </row>
    <row r="945" ht="15.75" customHeight="1">
      <c r="C945" s="8"/>
      <c r="N945" s="8"/>
    </row>
    <row r="946" ht="15.75" customHeight="1">
      <c r="C946" s="8"/>
      <c r="N946" s="8"/>
    </row>
    <row r="947" ht="15.75" customHeight="1">
      <c r="C947" s="8"/>
      <c r="N947" s="8"/>
    </row>
    <row r="948" ht="15.75" customHeight="1">
      <c r="C948" s="8"/>
      <c r="N948" s="8"/>
    </row>
    <row r="949" ht="15.75" customHeight="1">
      <c r="C949" s="8"/>
      <c r="N949" s="8"/>
    </row>
    <row r="950" ht="15.75" customHeight="1">
      <c r="C950" s="8"/>
      <c r="N950" s="8"/>
    </row>
    <row r="951" ht="15.75" customHeight="1">
      <c r="C951" s="8"/>
      <c r="N951" s="8"/>
    </row>
    <row r="952" ht="15.75" customHeight="1">
      <c r="C952" s="8"/>
      <c r="N952" s="8"/>
    </row>
    <row r="953" ht="15.75" customHeight="1">
      <c r="C953" s="8"/>
      <c r="N953" s="8"/>
    </row>
    <row r="954" ht="15.75" customHeight="1">
      <c r="C954" s="8"/>
      <c r="N954" s="8"/>
    </row>
    <row r="955" ht="15.75" customHeight="1">
      <c r="C955" s="8"/>
      <c r="N955" s="8"/>
    </row>
    <row r="956" ht="15.75" customHeight="1">
      <c r="C956" s="8"/>
      <c r="N956" s="8"/>
    </row>
    <row r="957" ht="15.75" customHeight="1">
      <c r="C957" s="8"/>
      <c r="N957" s="8"/>
    </row>
    <row r="958" ht="15.75" customHeight="1">
      <c r="C958" s="8"/>
      <c r="N958" s="8"/>
    </row>
    <row r="959" ht="15.75" customHeight="1">
      <c r="C959" s="8"/>
      <c r="N959" s="8"/>
    </row>
    <row r="960" ht="15.75" customHeight="1">
      <c r="C960" s="8"/>
      <c r="N960" s="8"/>
    </row>
    <row r="961" ht="15.75" customHeight="1">
      <c r="C961" s="8"/>
      <c r="N961" s="8"/>
    </row>
    <row r="962" ht="15.75" customHeight="1">
      <c r="C962" s="8"/>
      <c r="N962" s="8"/>
    </row>
    <row r="963" ht="15.75" customHeight="1">
      <c r="C963" s="8"/>
      <c r="N963" s="8"/>
    </row>
    <row r="964" ht="15.75" customHeight="1">
      <c r="C964" s="8"/>
      <c r="N964" s="8"/>
    </row>
    <row r="965" ht="15.75" customHeight="1">
      <c r="C965" s="8"/>
      <c r="N965" s="8"/>
    </row>
    <row r="966" ht="15.75" customHeight="1">
      <c r="C966" s="8"/>
      <c r="N966" s="8"/>
    </row>
    <row r="967" ht="15.75" customHeight="1">
      <c r="C967" s="8"/>
      <c r="N967" s="8"/>
    </row>
    <row r="968" ht="15.75" customHeight="1">
      <c r="C968" s="8"/>
      <c r="N968" s="8"/>
    </row>
    <row r="969" ht="15.75" customHeight="1">
      <c r="C969" s="8"/>
      <c r="N969" s="8"/>
    </row>
    <row r="970" ht="15.75" customHeight="1">
      <c r="C970" s="8"/>
      <c r="N970" s="8"/>
    </row>
    <row r="971" ht="15.75" customHeight="1">
      <c r="C971" s="8"/>
      <c r="N971" s="8"/>
    </row>
    <row r="972" ht="15.75" customHeight="1">
      <c r="C972" s="8"/>
      <c r="N972" s="8"/>
    </row>
    <row r="973" ht="15.75" customHeight="1">
      <c r="C973" s="8"/>
      <c r="N973" s="8"/>
    </row>
    <row r="974" ht="15.75" customHeight="1">
      <c r="C974" s="8"/>
      <c r="N974" s="8"/>
    </row>
    <row r="975" ht="15.75" customHeight="1">
      <c r="C975" s="8"/>
      <c r="N975" s="8"/>
    </row>
    <row r="976" ht="15.75" customHeight="1">
      <c r="C976" s="8"/>
      <c r="N976" s="8"/>
    </row>
    <row r="977" ht="15.75" customHeight="1">
      <c r="C977" s="8"/>
      <c r="N977" s="8"/>
    </row>
    <row r="978" ht="15.75" customHeight="1">
      <c r="C978" s="8"/>
      <c r="N978" s="8"/>
    </row>
    <row r="979" ht="15.75" customHeight="1">
      <c r="C979" s="8"/>
      <c r="N979" s="8"/>
    </row>
    <row r="980" ht="15.75" customHeight="1">
      <c r="C980" s="8"/>
      <c r="N980" s="8"/>
    </row>
    <row r="981" ht="15.75" customHeight="1">
      <c r="C981" s="8"/>
      <c r="N981" s="8"/>
    </row>
    <row r="982" ht="15.75" customHeight="1">
      <c r="C982" s="8"/>
      <c r="N982" s="8"/>
    </row>
    <row r="983" ht="15.75" customHeight="1">
      <c r="C983" s="8"/>
      <c r="N983" s="8"/>
    </row>
    <row r="984" ht="15.75" customHeight="1">
      <c r="C984" s="8"/>
      <c r="N984" s="8"/>
    </row>
    <row r="985" ht="15.75" customHeight="1">
      <c r="C985" s="8"/>
      <c r="N985" s="8"/>
    </row>
    <row r="986" ht="15.75" customHeight="1">
      <c r="C986" s="8"/>
      <c r="N986" s="8"/>
    </row>
    <row r="987" ht="15.75" customHeight="1">
      <c r="C987" s="8"/>
      <c r="N987" s="8"/>
    </row>
    <row r="988" ht="15.75" customHeight="1">
      <c r="C988" s="8"/>
      <c r="N988" s="8"/>
    </row>
    <row r="989" ht="15.75" customHeight="1">
      <c r="C989" s="8"/>
      <c r="N989" s="8"/>
    </row>
    <row r="990" ht="15.75" customHeight="1">
      <c r="C990" s="8"/>
      <c r="N990" s="8"/>
    </row>
    <row r="991" ht="15.75" customHeight="1">
      <c r="C991" s="8"/>
      <c r="N991" s="8"/>
    </row>
    <row r="992" ht="15.75" customHeight="1">
      <c r="C992" s="8"/>
      <c r="N992" s="8"/>
    </row>
    <row r="993" ht="15.75" customHeight="1">
      <c r="C993" s="8"/>
      <c r="N993" s="8"/>
    </row>
    <row r="994" ht="15.75" customHeight="1">
      <c r="C994" s="8"/>
      <c r="N994" s="8"/>
    </row>
    <row r="995" ht="15.75" customHeight="1">
      <c r="C995" s="8"/>
      <c r="N995" s="8"/>
    </row>
    <row r="996" ht="15.75" customHeight="1">
      <c r="C996" s="8"/>
      <c r="N996" s="8"/>
    </row>
    <row r="997" ht="15.75" customHeight="1">
      <c r="C997" s="8"/>
      <c r="N997" s="8"/>
    </row>
    <row r="998" ht="15.75" customHeight="1">
      <c r="C998" s="8"/>
      <c r="N998" s="8"/>
    </row>
    <row r="999" ht="15.75" customHeight="1">
      <c r="C999" s="8"/>
      <c r="N999" s="8"/>
    </row>
    <row r="1000" ht="15.75" customHeight="1">
      <c r="C1000" s="8"/>
      <c r="N1000" s="8"/>
    </row>
  </sheetData>
  <mergeCells count="13">
    <mergeCell ref="C9:G9"/>
    <mergeCell ref="C10:G10"/>
    <mergeCell ref="B12:D12"/>
    <mergeCell ref="B13:D13"/>
    <mergeCell ref="B14:D14"/>
    <mergeCell ref="B15:D15"/>
    <mergeCell ref="A1:G1"/>
    <mergeCell ref="A3:G3"/>
    <mergeCell ref="C4:G4"/>
    <mergeCell ref="C5:G5"/>
    <mergeCell ref="C6:G6"/>
    <mergeCell ref="C7:G7"/>
    <mergeCell ref="C8:G8"/>
  </mergeCells>
  <hyperlinks>
    <hyperlink r:id="rId1" location="step-1-assign-parties-person-playing-and-strategies" ref="N4"/>
    <hyperlink r:id="rId2" location="1a-explain-cell-types" ref="N12"/>
    <hyperlink r:id="rId3" location="1b-make-assumptions" ref="N17"/>
    <hyperlink r:id="rId4" location="i-evaporation-rates" ref="N18"/>
    <hyperlink r:id="rId5" location="ii-start-storage" ref="N19"/>
    <hyperlink r:id="rId6" location="iii-protection-elevations" ref="N20"/>
    <hyperlink r:id="rId7" location="iv-the-protection-volumes" ref="N21"/>
    <hyperlink r:id="rId8" location="v-prior-9-year-lake-powell-release" ref="N22"/>
    <hyperlink r:id="rId9" location="vi-prior-9-year-paria-river-flow" ref="N23"/>
    <hyperlink r:id="rId10" location="vii-delivery-to-meet-10-year-requirement" ref="N24"/>
    <hyperlink r:id="rId11" location="upper-basin-pre-1922-water-rights" ref="N25"/>
    <hyperlink r:id="rId12" location="step-2-specify-natural-inflow-to-lake-powell" ref="N28"/>
    <hyperlink r:id="rId13" location="2a-intervening-grand-canyon-flow" ref="N29"/>
    <hyperlink r:id="rId14" location="2b-mead-to-imperial-dam-intervening-flow" ref="N30"/>
    <hyperlink r:id="rId15" location="2c-havasuparker-evaporation-and-evapotranspiration" ref="N31"/>
    <hyperlink r:id="rId16" location="3a-begin-of-year-reservoir-storage" ref="N32"/>
    <hyperlink r:id="rId17" location="3b-calculate-powell--mead-evaporation" ref="N36"/>
    <hyperlink r:id="rId18" location="3c-calculate-mexico-water-allocation" ref="N38"/>
    <hyperlink r:id="rId19" location="split-combined-natural-inflow-among-parties" ref="N39"/>
  </hyperlinks>
  <printOptions/>
  <pageMargins bottom="0.75" footer="0.0" header="0.0" left="0.7" right="0.7" top="0.75"/>
  <pageSetup orientation="landscape"/>
  <drawing r:id="rId2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3" width="9.14"/>
    <col customWidth="1" min="4" max="4" width="10.14"/>
    <col customWidth="1" min="5" max="5" width="11.0"/>
    <col customWidth="1" min="6" max="6" width="10.29"/>
    <col customWidth="1" min="7" max="7" width="11.0"/>
    <col customWidth="1" min="8" max="8" width="10.0"/>
    <col customWidth="1" min="9" max="9" width="10.43"/>
    <col customWidth="1" min="10" max="10" width="10.71"/>
    <col customWidth="1" min="11" max="11" width="10.0"/>
    <col customWidth="1" min="12" max="12" width="11.14"/>
    <col customWidth="1" min="13" max="13" width="11.43"/>
    <col customWidth="1" min="14" max="14" width="12.43"/>
    <col customWidth="1" min="15" max="15" width="12.14"/>
    <col customWidth="1" min="16" max="26" width="8.86"/>
  </cols>
  <sheetData>
    <row r="1">
      <c r="A1" s="11" t="s">
        <v>305</v>
      </c>
      <c r="D1" s="8"/>
      <c r="E1" s="8"/>
      <c r="F1" s="8"/>
      <c r="G1" s="8"/>
      <c r="H1" s="8"/>
      <c r="I1" s="8"/>
      <c r="J1" s="8"/>
      <c r="K1" s="8"/>
      <c r="M1" s="8"/>
      <c r="N1" s="8"/>
    </row>
    <row r="2">
      <c r="D2" s="8"/>
      <c r="E2" s="8"/>
      <c r="F2" s="8"/>
      <c r="G2" s="8"/>
      <c r="H2" s="8"/>
      <c r="I2" s="8"/>
      <c r="J2" s="8"/>
      <c r="K2" s="8"/>
      <c r="M2" s="8"/>
      <c r="N2" s="8"/>
    </row>
    <row r="3">
      <c r="A3" s="11"/>
      <c r="B3" s="11"/>
      <c r="C3" s="11"/>
      <c r="D3" s="279" t="s">
        <v>306</v>
      </c>
      <c r="E3" s="31"/>
      <c r="F3" s="279" t="s">
        <v>307</v>
      </c>
      <c r="G3" s="29"/>
      <c r="H3" s="31"/>
      <c r="I3" s="279" t="s">
        <v>308</v>
      </c>
      <c r="J3" s="29"/>
      <c r="K3" s="31"/>
      <c r="L3" s="280"/>
      <c r="M3" s="279" t="s">
        <v>65</v>
      </c>
      <c r="N3" s="29"/>
      <c r="O3" s="31"/>
      <c r="P3" s="11"/>
      <c r="Q3" s="11"/>
      <c r="R3" s="11"/>
      <c r="S3" s="11"/>
      <c r="T3" s="11"/>
      <c r="U3" s="11"/>
      <c r="V3" s="11"/>
      <c r="W3" s="11"/>
      <c r="X3" s="11"/>
      <c r="Y3" s="11"/>
      <c r="Z3" s="11"/>
    </row>
    <row r="4" ht="42.75" customHeight="1">
      <c r="A4" s="282" t="s">
        <v>311</v>
      </c>
      <c r="B4" s="282" t="s">
        <v>312</v>
      </c>
      <c r="C4" s="282" t="s">
        <v>313</v>
      </c>
      <c r="D4" s="282" t="s">
        <v>314</v>
      </c>
      <c r="E4" s="282" t="s">
        <v>315</v>
      </c>
      <c r="F4" s="282" t="s">
        <v>314</v>
      </c>
      <c r="G4" s="282" t="s">
        <v>315</v>
      </c>
      <c r="H4" s="282" t="s">
        <v>316</v>
      </c>
      <c r="I4" s="282" t="s">
        <v>314</v>
      </c>
      <c r="J4" s="282" t="s">
        <v>315</v>
      </c>
      <c r="K4" s="282" t="s">
        <v>316</v>
      </c>
      <c r="L4" s="282" t="s">
        <v>317</v>
      </c>
      <c r="M4" s="282" t="s">
        <v>318</v>
      </c>
      <c r="N4" s="282" t="s">
        <v>319</v>
      </c>
      <c r="O4" s="282" t="s">
        <v>320</v>
      </c>
      <c r="P4" s="282" t="s">
        <v>321</v>
      </c>
      <c r="Q4" s="283"/>
      <c r="R4" s="283"/>
      <c r="S4" s="283"/>
      <c r="T4" s="283"/>
      <c r="U4" s="283"/>
      <c r="V4" s="283"/>
      <c r="W4" s="283"/>
      <c r="X4" s="283"/>
      <c r="Y4" s="283"/>
      <c r="Z4" s="283"/>
    </row>
    <row r="5">
      <c r="A5" s="261">
        <v>1025.0</v>
      </c>
      <c r="B5" s="284">
        <v>5.981122</v>
      </c>
      <c r="C5" s="285">
        <v>0.0</v>
      </c>
      <c r="D5" s="262">
        <v>480.0</v>
      </c>
      <c r="E5" s="262">
        <v>20.0</v>
      </c>
      <c r="F5" s="262">
        <v>240.0</v>
      </c>
      <c r="G5" s="262">
        <v>10.0</v>
      </c>
      <c r="H5" s="262">
        <v>350.0</v>
      </c>
      <c r="I5" s="288">
        <f t="shared" ref="I5:J5" si="1">SUM(D5,F5)</f>
        <v>720</v>
      </c>
      <c r="J5" s="262">
        <f t="shared" si="1"/>
        <v>30</v>
      </c>
      <c r="K5" s="262">
        <f t="shared" ref="K5:K13" si="3">H5</f>
        <v>350</v>
      </c>
      <c r="L5" s="290">
        <f t="shared" ref="L5:L13" si="4">SUM(I5:K5)/1000</f>
        <v>1.1</v>
      </c>
      <c r="M5" s="262">
        <v>125.0</v>
      </c>
      <c r="N5" s="262">
        <v>150.0</v>
      </c>
      <c r="O5" s="262">
        <f t="shared" ref="O5:O13" si="5">SUM(M5:N5)/1000</f>
        <v>0.275</v>
      </c>
      <c r="P5" s="291">
        <f t="shared" ref="P5:P13" si="6">SUM(L5,O5)</f>
        <v>1.375</v>
      </c>
    </row>
    <row r="6">
      <c r="A6" s="261">
        <v>1030.0</v>
      </c>
      <c r="B6" s="284">
        <v>6.305377</v>
      </c>
      <c r="C6" s="285">
        <f t="shared" ref="C6:C13" si="7">B5</f>
        <v>5.981122</v>
      </c>
      <c r="D6" s="262">
        <v>400.0</v>
      </c>
      <c r="E6" s="262">
        <v>17.0</v>
      </c>
      <c r="F6" s="262">
        <v>240.0</v>
      </c>
      <c r="G6" s="262">
        <v>10.0</v>
      </c>
      <c r="H6" s="262">
        <v>350.0</v>
      </c>
      <c r="I6" s="288">
        <f t="shared" ref="I6:J6" si="2">SUM(D6,F6)</f>
        <v>640</v>
      </c>
      <c r="J6" s="262">
        <f t="shared" si="2"/>
        <v>27</v>
      </c>
      <c r="K6" s="262">
        <f t="shared" si="3"/>
        <v>350</v>
      </c>
      <c r="L6" s="290">
        <f t="shared" si="4"/>
        <v>1.017</v>
      </c>
      <c r="M6" s="262">
        <v>70.0</v>
      </c>
      <c r="N6" s="262">
        <v>101.0</v>
      </c>
      <c r="O6" s="262">
        <f t="shared" si="5"/>
        <v>0.171</v>
      </c>
      <c r="P6" s="291">
        <f t="shared" si="6"/>
        <v>1.188</v>
      </c>
    </row>
    <row r="7">
      <c r="A7" s="261">
        <v>1035.0</v>
      </c>
      <c r="B7" s="284">
        <v>6.637508</v>
      </c>
      <c r="C7" s="285">
        <f t="shared" si="7"/>
        <v>6.305377</v>
      </c>
      <c r="D7" s="262">
        <v>400.0</v>
      </c>
      <c r="E7" s="262">
        <v>17.0</v>
      </c>
      <c r="F7" s="262">
        <v>240.0</v>
      </c>
      <c r="G7" s="262">
        <v>10.0</v>
      </c>
      <c r="H7" s="262">
        <v>300.0</v>
      </c>
      <c r="I7" s="288">
        <f t="shared" ref="I7:J7" si="8">SUM(D7,F7)</f>
        <v>640</v>
      </c>
      <c r="J7" s="262">
        <f t="shared" si="8"/>
        <v>27</v>
      </c>
      <c r="K7" s="262">
        <f t="shared" si="3"/>
        <v>300</v>
      </c>
      <c r="L7" s="290">
        <f t="shared" si="4"/>
        <v>0.967</v>
      </c>
      <c r="M7" s="262">
        <v>70.0</v>
      </c>
      <c r="N7" s="262">
        <v>92.0</v>
      </c>
      <c r="O7" s="262">
        <f t="shared" si="5"/>
        <v>0.162</v>
      </c>
      <c r="P7" s="291">
        <f t="shared" si="6"/>
        <v>1.129</v>
      </c>
    </row>
    <row r="8">
      <c r="A8" s="261">
        <v>1040.0</v>
      </c>
      <c r="B8" s="284">
        <v>6.977665</v>
      </c>
      <c r="C8" s="285">
        <f t="shared" si="7"/>
        <v>6.637508</v>
      </c>
      <c r="D8" s="262">
        <v>400.0</v>
      </c>
      <c r="E8" s="262">
        <v>17.0</v>
      </c>
      <c r="F8" s="262">
        <v>240.0</v>
      </c>
      <c r="G8" s="262">
        <v>10.0</v>
      </c>
      <c r="H8" s="262">
        <v>250.0</v>
      </c>
      <c r="I8" s="288">
        <f t="shared" ref="I8:J8" si="9">SUM(D8,F8)</f>
        <v>640</v>
      </c>
      <c r="J8" s="262">
        <f t="shared" si="9"/>
        <v>27</v>
      </c>
      <c r="K8" s="262">
        <f t="shared" si="3"/>
        <v>250</v>
      </c>
      <c r="L8" s="290">
        <f t="shared" si="4"/>
        <v>0.917</v>
      </c>
      <c r="M8" s="262">
        <v>70.0</v>
      </c>
      <c r="N8" s="262">
        <v>84.0</v>
      </c>
      <c r="O8" s="262">
        <f t="shared" si="5"/>
        <v>0.154</v>
      </c>
      <c r="P8" s="291">
        <f t="shared" si="6"/>
        <v>1.071</v>
      </c>
    </row>
    <row r="9">
      <c r="A9" s="261">
        <v>1045.0</v>
      </c>
      <c r="B9" s="284">
        <v>7.326052</v>
      </c>
      <c r="C9" s="285">
        <f t="shared" si="7"/>
        <v>6.977665</v>
      </c>
      <c r="D9" s="262">
        <v>400.0</v>
      </c>
      <c r="E9" s="262">
        <v>17.0</v>
      </c>
      <c r="F9" s="262">
        <v>240.0</v>
      </c>
      <c r="G9" s="262">
        <v>10.0</v>
      </c>
      <c r="H9" s="262">
        <v>200.0</v>
      </c>
      <c r="I9" s="288">
        <f t="shared" ref="I9:J9" si="10">SUM(D9,F9)</f>
        <v>640</v>
      </c>
      <c r="J9" s="262">
        <f t="shared" si="10"/>
        <v>27</v>
      </c>
      <c r="K9" s="262">
        <f t="shared" si="3"/>
        <v>200</v>
      </c>
      <c r="L9" s="290">
        <f t="shared" si="4"/>
        <v>0.867</v>
      </c>
      <c r="M9" s="262">
        <v>70.0</v>
      </c>
      <c r="N9" s="262">
        <v>76.0</v>
      </c>
      <c r="O9" s="262">
        <f t="shared" si="5"/>
        <v>0.146</v>
      </c>
      <c r="P9" s="291">
        <f t="shared" si="6"/>
        <v>1.013</v>
      </c>
    </row>
    <row r="10">
      <c r="A10" s="261">
        <v>1050.0</v>
      </c>
      <c r="B10" s="284">
        <v>7.682878</v>
      </c>
      <c r="C10" s="285">
        <f t="shared" si="7"/>
        <v>7.326052</v>
      </c>
      <c r="D10" s="262">
        <v>400.0</v>
      </c>
      <c r="E10" s="262">
        <v>17.0</v>
      </c>
      <c r="F10" s="262">
        <v>192.0</v>
      </c>
      <c r="G10" s="262">
        <v>8.0</v>
      </c>
      <c r="H10" s="262">
        <v>0.0</v>
      </c>
      <c r="I10" s="288">
        <f t="shared" ref="I10:J10" si="11">SUM(D10,F10)</f>
        <v>592</v>
      </c>
      <c r="J10" s="262">
        <f t="shared" si="11"/>
        <v>25</v>
      </c>
      <c r="K10" s="262">
        <f t="shared" si="3"/>
        <v>0</v>
      </c>
      <c r="L10" s="290">
        <f t="shared" si="4"/>
        <v>0.617</v>
      </c>
      <c r="M10" s="262">
        <v>70.0</v>
      </c>
      <c r="N10" s="262">
        <v>34.0</v>
      </c>
      <c r="O10" s="262">
        <f t="shared" si="5"/>
        <v>0.104</v>
      </c>
      <c r="P10" s="291">
        <f t="shared" si="6"/>
        <v>0.721</v>
      </c>
    </row>
    <row r="11">
      <c r="A11" s="261">
        <v>1075.0</v>
      </c>
      <c r="B11" s="284">
        <v>9.60098799999</v>
      </c>
      <c r="C11" s="285">
        <f t="shared" si="7"/>
        <v>7.682878</v>
      </c>
      <c r="D11" s="262">
        <v>320.0</v>
      </c>
      <c r="E11" s="262">
        <v>13.0</v>
      </c>
      <c r="F11" s="262">
        <v>192.0</v>
      </c>
      <c r="G11" s="262">
        <v>8.0</v>
      </c>
      <c r="H11" s="262">
        <v>0.0</v>
      </c>
      <c r="I11" s="288">
        <f t="shared" ref="I11:J11" si="12">SUM(D11,F11)</f>
        <v>512</v>
      </c>
      <c r="J11" s="262">
        <f t="shared" si="12"/>
        <v>21</v>
      </c>
      <c r="K11" s="262">
        <f t="shared" si="3"/>
        <v>0</v>
      </c>
      <c r="L11" s="290">
        <f t="shared" si="4"/>
        <v>0.533</v>
      </c>
      <c r="M11" s="262">
        <v>50.0</v>
      </c>
      <c r="N11" s="262">
        <v>30.0</v>
      </c>
      <c r="O11" s="291">
        <f t="shared" si="5"/>
        <v>0.08</v>
      </c>
      <c r="P11" s="291">
        <f t="shared" si="6"/>
        <v>0.613</v>
      </c>
    </row>
    <row r="12">
      <c r="A12" s="261">
        <v>1090.0</v>
      </c>
      <c r="B12" s="284">
        <v>10.857008</v>
      </c>
      <c r="C12" s="285">
        <f t="shared" si="7"/>
        <v>9.600988</v>
      </c>
      <c r="D12" s="262">
        <v>0.0</v>
      </c>
      <c r="E12" s="262">
        <v>0.0</v>
      </c>
      <c r="F12" s="262">
        <v>192.0</v>
      </c>
      <c r="G12" s="262">
        <v>8.0</v>
      </c>
      <c r="H12" s="262">
        <v>0.0</v>
      </c>
      <c r="I12" s="288">
        <f t="shared" ref="I12:J12" si="13">SUM(D12,F12)</f>
        <v>192</v>
      </c>
      <c r="J12" s="262">
        <f t="shared" si="13"/>
        <v>8</v>
      </c>
      <c r="K12" s="262">
        <f t="shared" si="3"/>
        <v>0</v>
      </c>
      <c r="L12" s="290">
        <f t="shared" si="4"/>
        <v>0.2</v>
      </c>
      <c r="M12" s="262">
        <v>0.0</v>
      </c>
      <c r="N12" s="262">
        <v>41.0</v>
      </c>
      <c r="O12" s="262">
        <f t="shared" si="5"/>
        <v>0.041</v>
      </c>
      <c r="P12" s="291">
        <f t="shared" si="6"/>
        <v>0.241</v>
      </c>
    </row>
    <row r="13">
      <c r="A13" s="261">
        <v>1090.1</v>
      </c>
      <c r="B13" s="284">
        <v>10.9</v>
      </c>
      <c r="C13" s="285">
        <f t="shared" si="7"/>
        <v>10.857008</v>
      </c>
      <c r="D13" s="284">
        <v>0.0</v>
      </c>
      <c r="E13" s="284">
        <v>0.0</v>
      </c>
      <c r="F13" s="284">
        <v>0.0</v>
      </c>
      <c r="G13" s="284">
        <v>0.0</v>
      </c>
      <c r="H13" s="284">
        <v>0.0</v>
      </c>
      <c r="I13" s="284">
        <f t="shared" ref="I13:J13" si="14">SUM(D13,F13)</f>
        <v>0</v>
      </c>
      <c r="J13" s="284">
        <f t="shared" si="14"/>
        <v>0</v>
      </c>
      <c r="K13" s="284">
        <f t="shared" si="3"/>
        <v>0</v>
      </c>
      <c r="L13" s="285">
        <f t="shared" si="4"/>
        <v>0</v>
      </c>
      <c r="M13" s="262">
        <v>0.0</v>
      </c>
      <c r="N13" s="290">
        <v>0.0</v>
      </c>
      <c r="O13" s="262">
        <f t="shared" si="5"/>
        <v>0</v>
      </c>
      <c r="P13" s="263">
        <f t="shared" si="6"/>
        <v>0</v>
      </c>
    </row>
    <row r="14">
      <c r="B14" s="297"/>
      <c r="D14" s="8"/>
      <c r="E14" s="8"/>
      <c r="F14" s="8"/>
      <c r="G14" s="8"/>
      <c r="H14" s="8"/>
      <c r="I14" s="8"/>
      <c r="J14" s="8"/>
      <c r="K14" s="8"/>
      <c r="M14" s="8"/>
      <c r="N14" s="8"/>
    </row>
    <row r="15">
      <c r="B15" s="298"/>
      <c r="C15" s="299"/>
      <c r="D15" s="8"/>
      <c r="E15" s="8"/>
      <c r="F15" s="8"/>
      <c r="G15" s="8"/>
      <c r="H15" s="8"/>
      <c r="I15" s="8"/>
      <c r="J15" s="8"/>
      <c r="K15" s="8"/>
      <c r="M15" s="8"/>
      <c r="N15" s="8"/>
    </row>
    <row r="16">
      <c r="A16" s="68" t="s">
        <v>344</v>
      </c>
      <c r="D16" s="8"/>
      <c r="E16" s="8"/>
      <c r="F16" s="8"/>
      <c r="G16" s="8"/>
      <c r="H16" s="8"/>
      <c r="I16" s="8"/>
      <c r="J16" s="8"/>
      <c r="K16" s="8"/>
      <c r="M16" s="8"/>
      <c r="N16" s="8"/>
    </row>
    <row r="17">
      <c r="A17" s="300">
        <v>1091.0</v>
      </c>
      <c r="D17" s="8"/>
      <c r="E17" s="8"/>
      <c r="F17" s="8"/>
      <c r="G17" s="8"/>
      <c r="H17" s="8"/>
      <c r="I17" s="8"/>
      <c r="J17" s="8"/>
      <c r="K17" s="8"/>
      <c r="M17" s="8"/>
      <c r="N17" s="8"/>
    </row>
    <row r="18">
      <c r="A18" s="261">
        <v>1090.0</v>
      </c>
      <c r="D18" s="8">
        <v>0.0</v>
      </c>
      <c r="E18" s="8">
        <v>0.0</v>
      </c>
      <c r="F18" s="8">
        <v>192.0</v>
      </c>
      <c r="G18" s="8">
        <v>8.0</v>
      </c>
      <c r="H18" s="8">
        <v>0.0</v>
      </c>
      <c r="I18" s="301">
        <f t="shared" ref="I18:J18" si="15">SUM(D18,F18)</f>
        <v>192</v>
      </c>
      <c r="J18" s="8">
        <f t="shared" si="15"/>
        <v>8</v>
      </c>
      <c r="K18" s="8">
        <f t="shared" ref="K18:K25" si="17">H18</f>
        <v>0</v>
      </c>
      <c r="L18" s="150">
        <f t="shared" ref="L18:L25" si="18">SUM(I18:K18)/1000</f>
        <v>0.2</v>
      </c>
      <c r="M18" s="8">
        <v>0.0</v>
      </c>
      <c r="N18" s="8">
        <v>41.0</v>
      </c>
      <c r="O18" s="8">
        <f t="shared" ref="O18:O25" si="19">SUM(M18:N18)/1000</f>
        <v>0.041</v>
      </c>
      <c r="P18" s="299">
        <f t="shared" ref="P18:P25" si="20">SUM(L18,O18)</f>
        <v>0.241</v>
      </c>
    </row>
    <row r="19">
      <c r="A19" s="261">
        <v>1075.0</v>
      </c>
      <c r="D19" s="8">
        <v>320.0</v>
      </c>
      <c r="E19" s="8">
        <v>13.0</v>
      </c>
      <c r="F19" s="8">
        <v>192.0</v>
      </c>
      <c r="G19" s="8">
        <v>8.0</v>
      </c>
      <c r="H19" s="8">
        <v>0.0</v>
      </c>
      <c r="I19" s="301">
        <f t="shared" ref="I19:J19" si="16">SUM(D19,F19)</f>
        <v>512</v>
      </c>
      <c r="J19" s="8">
        <f t="shared" si="16"/>
        <v>21</v>
      </c>
      <c r="K19" s="8">
        <f t="shared" si="17"/>
        <v>0</v>
      </c>
      <c r="L19" s="150">
        <f t="shared" si="18"/>
        <v>0.533</v>
      </c>
      <c r="M19" s="8">
        <v>50.0</v>
      </c>
      <c r="N19" s="8">
        <v>30.0</v>
      </c>
      <c r="O19" s="8">
        <f t="shared" si="19"/>
        <v>0.08</v>
      </c>
      <c r="P19" s="299">
        <f t="shared" si="20"/>
        <v>0.613</v>
      </c>
    </row>
    <row r="20">
      <c r="A20" s="261">
        <v>1050.0</v>
      </c>
      <c r="D20" s="8">
        <v>400.0</v>
      </c>
      <c r="E20" s="8">
        <v>17.0</v>
      </c>
      <c r="F20" s="8">
        <v>192.0</v>
      </c>
      <c r="G20" s="8">
        <v>8.0</v>
      </c>
      <c r="H20" s="8">
        <v>0.0</v>
      </c>
      <c r="I20" s="301">
        <f t="shared" ref="I20:J20" si="21">SUM(D20,F20)</f>
        <v>592</v>
      </c>
      <c r="J20" s="8">
        <f t="shared" si="21"/>
        <v>25</v>
      </c>
      <c r="K20" s="8">
        <f t="shared" si="17"/>
        <v>0</v>
      </c>
      <c r="L20" s="150">
        <f t="shared" si="18"/>
        <v>0.617</v>
      </c>
      <c r="M20" s="8">
        <v>70.0</v>
      </c>
      <c r="N20" s="8">
        <v>34.0</v>
      </c>
      <c r="O20" s="8">
        <f t="shared" si="19"/>
        <v>0.104</v>
      </c>
      <c r="P20" s="299">
        <f t="shared" si="20"/>
        <v>0.721</v>
      </c>
    </row>
    <row r="21" ht="15.75" customHeight="1">
      <c r="A21" s="261">
        <v>1045.0</v>
      </c>
      <c r="D21" s="8">
        <v>400.0</v>
      </c>
      <c r="E21" s="8">
        <v>17.0</v>
      </c>
      <c r="F21" s="8">
        <v>240.0</v>
      </c>
      <c r="G21" s="8">
        <v>10.0</v>
      </c>
      <c r="H21" s="8">
        <v>200.0</v>
      </c>
      <c r="I21" s="301">
        <f t="shared" ref="I21:J21" si="22">SUM(D21,F21)</f>
        <v>640</v>
      </c>
      <c r="J21" s="8">
        <f t="shared" si="22"/>
        <v>27</v>
      </c>
      <c r="K21" s="8">
        <f t="shared" si="17"/>
        <v>200</v>
      </c>
      <c r="L21" s="150">
        <f t="shared" si="18"/>
        <v>0.867</v>
      </c>
      <c r="M21" s="8">
        <v>70.0</v>
      </c>
      <c r="N21" s="8">
        <v>76.0</v>
      </c>
      <c r="O21" s="8">
        <f t="shared" si="19"/>
        <v>0.146</v>
      </c>
      <c r="P21" s="299">
        <f t="shared" si="20"/>
        <v>1.013</v>
      </c>
    </row>
    <row r="22" ht="15.75" customHeight="1">
      <c r="A22" s="261">
        <v>1040.0</v>
      </c>
      <c r="D22" s="8">
        <v>400.0</v>
      </c>
      <c r="E22" s="8">
        <v>17.0</v>
      </c>
      <c r="F22" s="8">
        <v>240.0</v>
      </c>
      <c r="G22" s="8">
        <v>10.0</v>
      </c>
      <c r="H22" s="8">
        <v>250.0</v>
      </c>
      <c r="I22" s="301">
        <f t="shared" ref="I22:J22" si="23">SUM(D22,F22)</f>
        <v>640</v>
      </c>
      <c r="J22" s="8">
        <f t="shared" si="23"/>
        <v>27</v>
      </c>
      <c r="K22" s="8">
        <f t="shared" si="17"/>
        <v>250</v>
      </c>
      <c r="L22" s="150">
        <f t="shared" si="18"/>
        <v>0.917</v>
      </c>
      <c r="M22" s="8">
        <v>70.0</v>
      </c>
      <c r="N22" s="8">
        <v>84.0</v>
      </c>
      <c r="O22" s="8">
        <f t="shared" si="19"/>
        <v>0.154</v>
      </c>
      <c r="P22" s="299">
        <f t="shared" si="20"/>
        <v>1.071</v>
      </c>
    </row>
    <row r="23" ht="15.75" customHeight="1">
      <c r="A23" s="261">
        <v>1035.0</v>
      </c>
      <c r="D23" s="8">
        <v>400.0</v>
      </c>
      <c r="E23" s="8">
        <v>17.0</v>
      </c>
      <c r="F23" s="8">
        <v>240.0</v>
      </c>
      <c r="G23" s="8">
        <v>10.0</v>
      </c>
      <c r="H23" s="8">
        <v>300.0</v>
      </c>
      <c r="I23" s="301">
        <f t="shared" ref="I23:J23" si="24">SUM(D23,F23)</f>
        <v>640</v>
      </c>
      <c r="J23" s="8">
        <f t="shared" si="24"/>
        <v>27</v>
      </c>
      <c r="K23" s="8">
        <f t="shared" si="17"/>
        <v>300</v>
      </c>
      <c r="L23" s="150">
        <f t="shared" si="18"/>
        <v>0.967</v>
      </c>
      <c r="M23" s="8">
        <v>70.0</v>
      </c>
      <c r="N23" s="8">
        <v>92.0</v>
      </c>
      <c r="O23" s="8">
        <f t="shared" si="19"/>
        <v>0.162</v>
      </c>
      <c r="P23" s="299">
        <f t="shared" si="20"/>
        <v>1.129</v>
      </c>
    </row>
    <row r="24" ht="15.75" customHeight="1">
      <c r="A24" s="261">
        <v>1030.0</v>
      </c>
      <c r="D24" s="8">
        <v>400.0</v>
      </c>
      <c r="E24" s="8">
        <v>17.0</v>
      </c>
      <c r="F24" s="8">
        <v>240.0</v>
      </c>
      <c r="G24" s="8">
        <v>10.0</v>
      </c>
      <c r="H24" s="8">
        <v>350.0</v>
      </c>
      <c r="I24" s="301">
        <f t="shared" ref="I24:J24" si="25">SUM(D24,F24)</f>
        <v>640</v>
      </c>
      <c r="J24" s="8">
        <f t="shared" si="25"/>
        <v>27</v>
      </c>
      <c r="K24" s="8">
        <f t="shared" si="17"/>
        <v>350</v>
      </c>
      <c r="L24" s="150">
        <f t="shared" si="18"/>
        <v>1.017</v>
      </c>
      <c r="M24" s="8">
        <v>70.0</v>
      </c>
      <c r="N24" s="8">
        <v>101.0</v>
      </c>
      <c r="O24" s="8">
        <f t="shared" si="19"/>
        <v>0.171</v>
      </c>
      <c r="P24" s="299">
        <f t="shared" si="20"/>
        <v>1.188</v>
      </c>
    </row>
    <row r="25" ht="15.75" customHeight="1">
      <c r="A25" s="261">
        <v>1025.0</v>
      </c>
      <c r="D25" s="8">
        <v>480.0</v>
      </c>
      <c r="E25" s="8">
        <v>20.0</v>
      </c>
      <c r="F25" s="8">
        <v>240.0</v>
      </c>
      <c r="G25" s="8">
        <v>10.0</v>
      </c>
      <c r="H25" s="8">
        <v>350.0</v>
      </c>
      <c r="I25" s="301">
        <f t="shared" ref="I25:J25" si="26">SUM(D25,F25)</f>
        <v>720</v>
      </c>
      <c r="J25" s="8">
        <f t="shared" si="26"/>
        <v>30</v>
      </c>
      <c r="K25" s="8">
        <f t="shared" si="17"/>
        <v>350</v>
      </c>
      <c r="L25" s="150">
        <f t="shared" si="18"/>
        <v>1.1</v>
      </c>
      <c r="M25" s="8">
        <v>125.0</v>
      </c>
      <c r="N25" s="8">
        <v>150.0</v>
      </c>
      <c r="O25" s="8">
        <f t="shared" si="19"/>
        <v>0.275</v>
      </c>
      <c r="P25" s="299">
        <f t="shared" si="20"/>
        <v>1.375</v>
      </c>
    </row>
    <row r="26" ht="15.75" customHeight="1">
      <c r="A26" s="260">
        <v>955.0</v>
      </c>
      <c r="D26" s="8"/>
      <c r="E26" s="8"/>
      <c r="F26" s="8"/>
      <c r="G26" s="8"/>
      <c r="H26" s="8"/>
      <c r="I26" s="8"/>
      <c r="J26" s="8"/>
      <c r="K26" s="8"/>
      <c r="M26" s="8"/>
      <c r="N26" s="8"/>
    </row>
    <row r="27" ht="15.75" customHeight="1">
      <c r="D27" s="8"/>
      <c r="E27" s="8"/>
      <c r="F27" s="8"/>
      <c r="G27" s="8"/>
      <c r="H27" s="8"/>
      <c r="I27" s="8"/>
      <c r="J27" s="8"/>
      <c r="K27" s="8"/>
      <c r="M27" s="8"/>
      <c r="N27" s="8"/>
    </row>
    <row r="28" ht="15.75" customHeight="1">
      <c r="D28" s="8"/>
      <c r="E28" s="8"/>
      <c r="F28" s="8"/>
      <c r="G28" s="8"/>
      <c r="H28" s="8"/>
      <c r="I28" s="8"/>
      <c r="J28" s="8"/>
      <c r="K28" s="8"/>
      <c r="M28" s="8"/>
      <c r="N28" s="8"/>
    </row>
    <row r="29" ht="15.75" customHeight="1">
      <c r="A29" s="261"/>
      <c r="D29" s="8"/>
      <c r="E29" s="8"/>
      <c r="F29" s="8"/>
      <c r="G29" s="8"/>
      <c r="H29" s="8"/>
      <c r="I29" s="301"/>
      <c r="J29" s="8"/>
      <c r="K29" s="8"/>
      <c r="L29" s="150"/>
      <c r="M29" s="8"/>
      <c r="N29" s="8"/>
      <c r="O29" s="8"/>
      <c r="P29" s="299"/>
    </row>
    <row r="30" ht="15.75" customHeight="1">
      <c r="A30" s="261"/>
      <c r="D30" s="8"/>
      <c r="E30" s="8"/>
      <c r="F30" s="8"/>
      <c r="G30" s="8"/>
      <c r="H30" s="8"/>
      <c r="I30" s="301"/>
      <c r="J30" s="8"/>
      <c r="K30" s="8"/>
      <c r="L30" s="150"/>
      <c r="M30" s="8"/>
      <c r="N30" s="8"/>
      <c r="O30" s="8"/>
      <c r="P30" s="299"/>
    </row>
    <row r="31" ht="15.75" customHeight="1">
      <c r="A31" s="261"/>
      <c r="D31" s="8"/>
      <c r="E31" s="8"/>
      <c r="F31" s="8"/>
      <c r="G31" s="8"/>
      <c r="H31" s="8"/>
      <c r="I31" s="301"/>
      <c r="J31" s="8"/>
      <c r="K31" s="8"/>
      <c r="L31" s="150"/>
      <c r="M31" s="8"/>
      <c r="N31" s="8"/>
      <c r="O31" s="8"/>
      <c r="P31" s="299"/>
    </row>
    <row r="32" ht="15.75" customHeight="1">
      <c r="A32" s="261"/>
      <c r="D32" s="8"/>
      <c r="E32" s="8"/>
      <c r="F32" s="8"/>
      <c r="G32" s="8"/>
      <c r="H32" s="8"/>
      <c r="I32" s="301"/>
      <c r="J32" s="8"/>
      <c r="K32" s="8"/>
      <c r="L32" s="150"/>
      <c r="M32" s="8"/>
      <c r="N32" s="8"/>
      <c r="O32" s="8"/>
      <c r="P32" s="299"/>
    </row>
    <row r="33" ht="15.75" customHeight="1">
      <c r="A33" s="261"/>
      <c r="D33" s="8"/>
      <c r="E33" s="8"/>
      <c r="F33" s="8"/>
      <c r="G33" s="8"/>
      <c r="H33" s="8"/>
      <c r="I33" s="301"/>
      <c r="J33" s="8"/>
      <c r="K33" s="8"/>
      <c r="L33" s="150"/>
      <c r="M33" s="8"/>
      <c r="N33" s="8"/>
      <c r="O33" s="8"/>
      <c r="P33" s="299"/>
    </row>
    <row r="34" ht="15.75" customHeight="1">
      <c r="A34" s="261"/>
      <c r="D34" s="8"/>
      <c r="E34" s="8"/>
      <c r="F34" s="8"/>
      <c r="G34" s="8"/>
      <c r="H34" s="8"/>
      <c r="I34" s="301"/>
      <c r="J34" s="8"/>
      <c r="K34" s="8"/>
      <c r="L34" s="150"/>
      <c r="M34" s="8"/>
      <c r="N34" s="8"/>
      <c r="O34" s="8"/>
      <c r="P34" s="299"/>
    </row>
    <row r="35" ht="15.75" customHeight="1">
      <c r="A35" s="261"/>
      <c r="D35" s="8"/>
      <c r="E35" s="8"/>
      <c r="F35" s="8"/>
      <c r="G35" s="8"/>
      <c r="H35" s="8"/>
      <c r="I35" s="301"/>
      <c r="J35" s="8"/>
      <c r="K35" s="8"/>
      <c r="L35" s="150"/>
      <c r="M35" s="8"/>
      <c r="N35" s="8"/>
      <c r="O35" s="8"/>
      <c r="P35" s="299"/>
    </row>
    <row r="36" ht="15.75" customHeight="1">
      <c r="A36" s="261"/>
      <c r="D36" s="8"/>
      <c r="E36" s="8"/>
      <c r="F36" s="8"/>
      <c r="G36" s="8"/>
      <c r="H36" s="8"/>
      <c r="I36" s="301"/>
      <c r="J36" s="8"/>
      <c r="K36" s="8"/>
      <c r="L36" s="150"/>
      <c r="M36" s="8"/>
      <c r="N36" s="8"/>
      <c r="O36" s="8"/>
      <c r="P36" s="299"/>
    </row>
    <row r="37" ht="15.75" customHeight="1">
      <c r="D37" s="8"/>
      <c r="E37" s="8"/>
      <c r="F37" s="8"/>
      <c r="G37" s="8"/>
      <c r="H37" s="8"/>
      <c r="I37" s="8"/>
      <c r="J37" s="8"/>
      <c r="K37" s="8"/>
      <c r="M37" s="8"/>
      <c r="N37" s="8"/>
    </row>
    <row r="38" ht="15.75" customHeight="1">
      <c r="D38" s="8"/>
      <c r="E38" s="8"/>
      <c r="F38" s="8"/>
      <c r="G38" s="8"/>
      <c r="H38" s="8"/>
      <c r="I38" s="8"/>
      <c r="J38" s="8"/>
      <c r="K38" s="8"/>
      <c r="M38" s="8"/>
      <c r="N38" s="8"/>
    </row>
    <row r="39" ht="15.75" customHeight="1">
      <c r="D39" s="8"/>
      <c r="E39" s="8"/>
      <c r="F39" s="8"/>
      <c r="G39" s="8"/>
      <c r="H39" s="8"/>
      <c r="I39" s="8"/>
      <c r="J39" s="8"/>
      <c r="K39" s="8"/>
      <c r="M39" s="8"/>
      <c r="N39" s="8"/>
    </row>
    <row r="40" ht="15.75" customHeight="1">
      <c r="D40" s="8"/>
      <c r="E40" s="8"/>
      <c r="F40" s="8"/>
      <c r="G40" s="8"/>
      <c r="H40" s="8"/>
      <c r="I40" s="8"/>
      <c r="J40" s="8"/>
      <c r="K40" s="8"/>
      <c r="M40" s="8"/>
      <c r="N40" s="8"/>
    </row>
    <row r="41" ht="15.75" customHeight="1">
      <c r="D41" s="8"/>
      <c r="E41" s="8"/>
      <c r="F41" s="8"/>
      <c r="G41" s="8"/>
      <c r="H41" s="8"/>
      <c r="I41" s="8"/>
      <c r="J41" s="8"/>
      <c r="K41" s="8"/>
      <c r="M41" s="8"/>
      <c r="N41" s="8"/>
    </row>
    <row r="42" ht="15.75" customHeight="1">
      <c r="D42" s="8"/>
      <c r="E42" s="8"/>
      <c r="F42" s="8"/>
      <c r="G42" s="8"/>
      <c r="H42" s="8"/>
      <c r="I42" s="8"/>
      <c r="J42" s="8"/>
      <c r="K42" s="8"/>
      <c r="M42" s="8"/>
      <c r="N42" s="8"/>
    </row>
    <row r="43" ht="15.75" customHeight="1">
      <c r="D43" s="8"/>
      <c r="E43" s="8"/>
      <c r="F43" s="8"/>
      <c r="G43" s="8"/>
      <c r="H43" s="8"/>
      <c r="I43" s="8"/>
      <c r="J43" s="8"/>
      <c r="K43" s="8"/>
      <c r="M43" s="8"/>
      <c r="N43" s="8"/>
    </row>
    <row r="44" ht="15.75" customHeight="1">
      <c r="D44" s="8"/>
      <c r="E44" s="8"/>
      <c r="F44" s="8"/>
      <c r="G44" s="8"/>
      <c r="H44" s="8"/>
      <c r="I44" s="8"/>
      <c r="J44" s="8"/>
      <c r="K44" s="8"/>
      <c r="M44" s="8"/>
      <c r="N44" s="8"/>
    </row>
    <row r="45" ht="15.75" customHeight="1">
      <c r="D45" s="8"/>
      <c r="E45" s="8"/>
      <c r="F45" s="8"/>
      <c r="G45" s="8"/>
      <c r="H45" s="8"/>
      <c r="I45" s="8"/>
      <c r="J45" s="8"/>
      <c r="K45" s="8"/>
      <c r="M45" s="8"/>
      <c r="N45" s="8"/>
    </row>
    <row r="46" ht="15.75" customHeight="1">
      <c r="D46" s="8"/>
      <c r="E46" s="8"/>
      <c r="F46" s="8"/>
      <c r="G46" s="8"/>
      <c r="H46" s="8"/>
      <c r="I46" s="8"/>
      <c r="J46" s="8"/>
      <c r="K46" s="8"/>
      <c r="M46" s="8"/>
      <c r="N46" s="8"/>
    </row>
    <row r="47" ht="15.75" customHeight="1">
      <c r="D47" s="8"/>
      <c r="E47" s="8"/>
      <c r="F47" s="8"/>
      <c r="G47" s="8"/>
      <c r="H47" s="8"/>
      <c r="I47" s="8"/>
      <c r="J47" s="8"/>
      <c r="K47" s="8"/>
      <c r="M47" s="8"/>
      <c r="N47" s="8"/>
    </row>
    <row r="48" ht="15.75" customHeight="1">
      <c r="D48" s="8"/>
      <c r="E48" s="8"/>
      <c r="F48" s="8"/>
      <c r="G48" s="8"/>
      <c r="H48" s="8"/>
      <c r="I48" s="8"/>
      <c r="J48" s="8"/>
      <c r="K48" s="8"/>
      <c r="M48" s="8"/>
      <c r="N48" s="8"/>
    </row>
    <row r="49" ht="15.75" customHeight="1">
      <c r="D49" s="8"/>
      <c r="E49" s="8"/>
      <c r="F49" s="8"/>
      <c r="G49" s="8"/>
      <c r="H49" s="8"/>
      <c r="I49" s="8"/>
      <c r="J49" s="8"/>
      <c r="K49" s="8"/>
      <c r="M49" s="8"/>
      <c r="N49" s="8"/>
    </row>
    <row r="50" ht="15.75" customHeight="1">
      <c r="D50" s="8"/>
      <c r="E50" s="8"/>
      <c r="F50" s="8"/>
      <c r="G50" s="8"/>
      <c r="H50" s="8"/>
      <c r="I50" s="8"/>
      <c r="J50" s="8"/>
      <c r="K50" s="8"/>
      <c r="M50" s="8"/>
      <c r="N50" s="8"/>
    </row>
    <row r="51" ht="15.75" customHeight="1">
      <c r="D51" s="8"/>
      <c r="E51" s="8"/>
      <c r="F51" s="8"/>
      <c r="G51" s="8"/>
      <c r="H51" s="8"/>
      <c r="I51" s="8"/>
      <c r="J51" s="8"/>
      <c r="K51" s="8"/>
      <c r="M51" s="8"/>
      <c r="N51" s="8"/>
    </row>
    <row r="52" ht="15.75" customHeight="1">
      <c r="D52" s="8"/>
      <c r="E52" s="8"/>
      <c r="F52" s="8"/>
      <c r="G52" s="8"/>
      <c r="H52" s="8"/>
      <c r="I52" s="8"/>
      <c r="J52" s="8"/>
      <c r="K52" s="8"/>
      <c r="M52" s="8"/>
      <c r="N52" s="8"/>
    </row>
    <row r="53" ht="15.75" customHeight="1">
      <c r="D53" s="8"/>
      <c r="E53" s="8"/>
      <c r="F53" s="8"/>
      <c r="G53" s="8"/>
      <c r="H53" s="8"/>
      <c r="I53" s="8"/>
      <c r="J53" s="8"/>
      <c r="K53" s="8"/>
      <c r="M53" s="8"/>
      <c r="N53" s="8"/>
    </row>
    <row r="54" ht="15.75" customHeight="1">
      <c r="D54" s="8"/>
      <c r="E54" s="8"/>
      <c r="F54" s="8"/>
      <c r="G54" s="8"/>
      <c r="H54" s="8"/>
      <c r="I54" s="8"/>
      <c r="J54" s="8"/>
      <c r="K54" s="8"/>
      <c r="M54" s="8"/>
      <c r="N54" s="8"/>
    </row>
    <row r="55" ht="15.75" customHeight="1">
      <c r="D55" s="8"/>
      <c r="E55" s="8"/>
      <c r="F55" s="8"/>
      <c r="G55" s="8"/>
      <c r="H55" s="8"/>
      <c r="I55" s="8"/>
      <c r="J55" s="8"/>
      <c r="K55" s="8"/>
      <c r="M55" s="8"/>
      <c r="N55" s="8"/>
    </row>
    <row r="56" ht="15.75" customHeight="1">
      <c r="D56" s="8"/>
      <c r="E56" s="8"/>
      <c r="F56" s="8"/>
      <c r="G56" s="8"/>
      <c r="H56" s="8"/>
      <c r="I56" s="8"/>
      <c r="J56" s="8"/>
      <c r="K56" s="8"/>
      <c r="M56" s="8"/>
      <c r="N56" s="8"/>
    </row>
    <row r="57" ht="15.75" customHeight="1">
      <c r="D57" s="8"/>
      <c r="E57" s="8"/>
      <c r="F57" s="8"/>
      <c r="G57" s="8"/>
      <c r="H57" s="8"/>
      <c r="I57" s="8"/>
      <c r="J57" s="8"/>
      <c r="K57" s="8"/>
      <c r="M57" s="8"/>
      <c r="N57" s="8"/>
    </row>
    <row r="58" ht="15.75" customHeight="1">
      <c r="D58" s="8"/>
      <c r="E58" s="8"/>
      <c r="F58" s="8"/>
      <c r="G58" s="8"/>
      <c r="H58" s="8"/>
      <c r="I58" s="8"/>
      <c r="J58" s="8"/>
      <c r="K58" s="8"/>
      <c r="M58" s="8"/>
      <c r="N58" s="8"/>
    </row>
    <row r="59" ht="15.75" customHeight="1">
      <c r="D59" s="8"/>
      <c r="E59" s="8"/>
      <c r="F59" s="8"/>
      <c r="G59" s="8"/>
      <c r="H59" s="8"/>
      <c r="I59" s="8"/>
      <c r="J59" s="8"/>
      <c r="K59" s="8"/>
      <c r="M59" s="8"/>
      <c r="N59" s="8"/>
    </row>
    <row r="60" ht="15.75" customHeight="1">
      <c r="D60" s="8"/>
      <c r="E60" s="8"/>
      <c r="F60" s="8"/>
      <c r="G60" s="8"/>
      <c r="H60" s="8"/>
      <c r="I60" s="8"/>
      <c r="J60" s="8"/>
      <c r="K60" s="8"/>
      <c r="M60" s="8"/>
      <c r="N60" s="8"/>
    </row>
    <row r="61" ht="15.75" customHeight="1">
      <c r="D61" s="8"/>
      <c r="E61" s="8"/>
      <c r="F61" s="8"/>
      <c r="G61" s="8"/>
      <c r="H61" s="8"/>
      <c r="I61" s="8"/>
      <c r="J61" s="8"/>
      <c r="K61" s="8"/>
      <c r="M61" s="8"/>
      <c r="N61" s="8"/>
    </row>
    <row r="62" ht="15.75" customHeight="1">
      <c r="D62" s="8"/>
      <c r="E62" s="8"/>
      <c r="F62" s="8"/>
      <c r="G62" s="8"/>
      <c r="H62" s="8"/>
      <c r="I62" s="8"/>
      <c r="J62" s="8"/>
      <c r="K62" s="8"/>
      <c r="M62" s="8"/>
      <c r="N62" s="8"/>
    </row>
    <row r="63" ht="15.75" customHeight="1">
      <c r="D63" s="8"/>
      <c r="E63" s="8"/>
      <c r="F63" s="8"/>
      <c r="G63" s="8"/>
      <c r="H63" s="8"/>
      <c r="I63" s="8"/>
      <c r="J63" s="8"/>
      <c r="K63" s="8"/>
      <c r="M63" s="8"/>
      <c r="N63" s="8"/>
    </row>
    <row r="64" ht="15.75" customHeight="1">
      <c r="D64" s="8"/>
      <c r="E64" s="8"/>
      <c r="F64" s="8"/>
      <c r="G64" s="8"/>
      <c r="H64" s="8"/>
      <c r="I64" s="8"/>
      <c r="J64" s="8"/>
      <c r="K64" s="8"/>
      <c r="M64" s="8"/>
      <c r="N64" s="8"/>
    </row>
    <row r="65" ht="15.75" customHeight="1">
      <c r="D65" s="8"/>
      <c r="E65" s="8"/>
      <c r="F65" s="8"/>
      <c r="G65" s="8"/>
      <c r="H65" s="8"/>
      <c r="I65" s="8"/>
      <c r="J65" s="8"/>
      <c r="K65" s="8"/>
      <c r="M65" s="8"/>
      <c r="N65" s="8"/>
    </row>
    <row r="66" ht="15.75" customHeight="1">
      <c r="D66" s="8"/>
      <c r="E66" s="8"/>
      <c r="F66" s="8"/>
      <c r="G66" s="8"/>
      <c r="H66" s="8"/>
      <c r="I66" s="8"/>
      <c r="J66" s="8"/>
      <c r="K66" s="8"/>
      <c r="M66" s="8"/>
      <c r="N66" s="8"/>
    </row>
    <row r="67" ht="15.75" customHeight="1">
      <c r="D67" s="8"/>
      <c r="E67" s="8"/>
      <c r="F67" s="8"/>
      <c r="G67" s="8"/>
      <c r="H67" s="8"/>
      <c r="I67" s="8"/>
      <c r="J67" s="8"/>
      <c r="K67" s="8"/>
      <c r="M67" s="8"/>
      <c r="N67" s="8"/>
    </row>
    <row r="68" ht="15.75" customHeight="1">
      <c r="D68" s="8"/>
      <c r="E68" s="8"/>
      <c r="F68" s="8"/>
      <c r="G68" s="8"/>
      <c r="H68" s="8"/>
      <c r="I68" s="8"/>
      <c r="J68" s="8"/>
      <c r="K68" s="8"/>
      <c r="M68" s="8"/>
      <c r="N68" s="8"/>
    </row>
    <row r="69" ht="15.75" customHeight="1">
      <c r="D69" s="8"/>
      <c r="E69" s="8"/>
      <c r="F69" s="8"/>
      <c r="G69" s="8"/>
      <c r="H69" s="8"/>
      <c r="I69" s="8"/>
      <c r="J69" s="8"/>
      <c r="K69" s="8"/>
      <c r="M69" s="8"/>
      <c r="N69" s="8"/>
    </row>
    <row r="70" ht="15.75" customHeight="1">
      <c r="D70" s="8"/>
      <c r="E70" s="8"/>
      <c r="F70" s="8"/>
      <c r="G70" s="8"/>
      <c r="H70" s="8"/>
      <c r="I70" s="8"/>
      <c r="J70" s="8"/>
      <c r="K70" s="8"/>
      <c r="M70" s="8"/>
      <c r="N70" s="8"/>
    </row>
    <row r="71" ht="15.75" customHeight="1">
      <c r="D71" s="8"/>
      <c r="E71" s="8"/>
      <c r="F71" s="8"/>
      <c r="G71" s="8"/>
      <c r="H71" s="8"/>
      <c r="I71" s="8"/>
      <c r="J71" s="8"/>
      <c r="K71" s="8"/>
      <c r="M71" s="8"/>
      <c r="N71" s="8"/>
    </row>
    <row r="72" ht="15.75" customHeight="1">
      <c r="D72" s="8"/>
      <c r="E72" s="8"/>
      <c r="F72" s="8"/>
      <c r="G72" s="8"/>
      <c r="H72" s="8"/>
      <c r="I72" s="8"/>
      <c r="J72" s="8"/>
      <c r="K72" s="8"/>
      <c r="M72" s="8"/>
      <c r="N72" s="8"/>
    </row>
    <row r="73" ht="15.75" customHeight="1">
      <c r="D73" s="8"/>
      <c r="E73" s="8"/>
      <c r="F73" s="8"/>
      <c r="G73" s="8"/>
      <c r="H73" s="8"/>
      <c r="I73" s="8"/>
      <c r="J73" s="8"/>
      <c r="K73" s="8"/>
      <c r="M73" s="8"/>
      <c r="N73" s="8"/>
    </row>
    <row r="74" ht="15.75" customHeight="1">
      <c r="D74" s="8"/>
      <c r="E74" s="8"/>
      <c r="F74" s="8"/>
      <c r="G74" s="8"/>
      <c r="H74" s="8"/>
      <c r="I74" s="8"/>
      <c r="J74" s="8"/>
      <c r="K74" s="8"/>
      <c r="M74" s="8"/>
      <c r="N74" s="8"/>
    </row>
    <row r="75" ht="15.75" customHeight="1">
      <c r="D75" s="8"/>
      <c r="E75" s="8"/>
      <c r="F75" s="8"/>
      <c r="G75" s="8"/>
      <c r="H75" s="8"/>
      <c r="I75" s="8"/>
      <c r="J75" s="8"/>
      <c r="K75" s="8"/>
      <c r="M75" s="8"/>
      <c r="N75" s="8"/>
    </row>
    <row r="76" ht="15.75" customHeight="1">
      <c r="D76" s="8"/>
      <c r="E76" s="8"/>
      <c r="F76" s="8"/>
      <c r="G76" s="8"/>
      <c r="H76" s="8"/>
      <c r="I76" s="8"/>
      <c r="J76" s="8"/>
      <c r="K76" s="8"/>
      <c r="M76" s="8"/>
      <c r="N76" s="8"/>
    </row>
    <row r="77" ht="15.75" customHeight="1">
      <c r="D77" s="8"/>
      <c r="E77" s="8"/>
      <c r="F77" s="8"/>
      <c r="G77" s="8"/>
      <c r="H77" s="8"/>
      <c r="I77" s="8"/>
      <c r="J77" s="8"/>
      <c r="K77" s="8"/>
      <c r="M77" s="8"/>
      <c r="N77" s="8"/>
    </row>
    <row r="78" ht="15.75" customHeight="1">
      <c r="D78" s="8"/>
      <c r="E78" s="8"/>
      <c r="F78" s="8"/>
      <c r="G78" s="8"/>
      <c r="H78" s="8"/>
      <c r="I78" s="8"/>
      <c r="J78" s="8"/>
      <c r="K78" s="8"/>
      <c r="M78" s="8"/>
      <c r="N78" s="8"/>
    </row>
    <row r="79" ht="15.75" customHeight="1">
      <c r="D79" s="8"/>
      <c r="E79" s="8"/>
      <c r="F79" s="8"/>
      <c r="G79" s="8"/>
      <c r="H79" s="8"/>
      <c r="I79" s="8"/>
      <c r="J79" s="8"/>
      <c r="K79" s="8"/>
      <c r="M79" s="8"/>
      <c r="N79" s="8"/>
    </row>
    <row r="80" ht="15.75" customHeight="1">
      <c r="D80" s="8"/>
      <c r="E80" s="8"/>
      <c r="F80" s="8"/>
      <c r="G80" s="8"/>
      <c r="H80" s="8"/>
      <c r="I80" s="8"/>
      <c r="J80" s="8"/>
      <c r="K80" s="8"/>
      <c r="M80" s="8"/>
      <c r="N80" s="8"/>
    </row>
    <row r="81" ht="15.75" customHeight="1">
      <c r="D81" s="8"/>
      <c r="E81" s="8"/>
      <c r="F81" s="8"/>
      <c r="G81" s="8"/>
      <c r="H81" s="8"/>
      <c r="I81" s="8"/>
      <c r="J81" s="8"/>
      <c r="K81" s="8"/>
      <c r="M81" s="8"/>
      <c r="N81" s="8"/>
    </row>
    <row r="82" ht="15.75" customHeight="1">
      <c r="D82" s="8"/>
      <c r="E82" s="8"/>
      <c r="F82" s="8"/>
      <c r="G82" s="8"/>
      <c r="H82" s="8"/>
      <c r="I82" s="8"/>
      <c r="J82" s="8"/>
      <c r="K82" s="8"/>
      <c r="M82" s="8"/>
      <c r="N82" s="8"/>
    </row>
    <row r="83" ht="15.75" customHeight="1">
      <c r="D83" s="8"/>
      <c r="E83" s="8"/>
      <c r="F83" s="8"/>
      <c r="G83" s="8"/>
      <c r="H83" s="8"/>
      <c r="I83" s="8"/>
      <c r="J83" s="8"/>
      <c r="K83" s="8"/>
      <c r="M83" s="8"/>
      <c r="N83" s="8"/>
    </row>
    <row r="84" ht="15.75" customHeight="1">
      <c r="D84" s="8"/>
      <c r="E84" s="8"/>
      <c r="F84" s="8"/>
      <c r="G84" s="8"/>
      <c r="H84" s="8"/>
      <c r="I84" s="8"/>
      <c r="J84" s="8"/>
      <c r="K84" s="8"/>
      <c r="M84" s="8"/>
      <c r="N84" s="8"/>
    </row>
    <row r="85" ht="15.75" customHeight="1">
      <c r="D85" s="8"/>
      <c r="E85" s="8"/>
      <c r="F85" s="8"/>
      <c r="G85" s="8"/>
      <c r="H85" s="8"/>
      <c r="I85" s="8"/>
      <c r="J85" s="8"/>
      <c r="K85" s="8"/>
      <c r="M85" s="8"/>
      <c r="N85" s="8"/>
    </row>
    <row r="86" ht="15.75" customHeight="1">
      <c r="D86" s="8"/>
      <c r="E86" s="8"/>
      <c r="F86" s="8"/>
      <c r="G86" s="8"/>
      <c r="H86" s="8"/>
      <c r="I86" s="8"/>
      <c r="J86" s="8"/>
      <c r="K86" s="8"/>
      <c r="M86" s="8"/>
      <c r="N86" s="8"/>
    </row>
    <row r="87" ht="15.75" customHeight="1">
      <c r="D87" s="8"/>
      <c r="E87" s="8"/>
      <c r="F87" s="8"/>
      <c r="G87" s="8"/>
      <c r="H87" s="8"/>
      <c r="I87" s="8"/>
      <c r="J87" s="8"/>
      <c r="K87" s="8"/>
      <c r="M87" s="8"/>
      <c r="N87" s="8"/>
    </row>
    <row r="88" ht="15.75" customHeight="1">
      <c r="D88" s="8"/>
      <c r="E88" s="8"/>
      <c r="F88" s="8"/>
      <c r="G88" s="8"/>
      <c r="H88" s="8"/>
      <c r="I88" s="8"/>
      <c r="J88" s="8"/>
      <c r="K88" s="8"/>
      <c r="M88" s="8"/>
      <c r="N88" s="8"/>
    </row>
    <row r="89" ht="15.75" customHeight="1">
      <c r="D89" s="8"/>
      <c r="E89" s="8"/>
      <c r="F89" s="8"/>
      <c r="G89" s="8"/>
      <c r="H89" s="8"/>
      <c r="I89" s="8"/>
      <c r="J89" s="8"/>
      <c r="K89" s="8"/>
      <c r="M89" s="8"/>
      <c r="N89" s="8"/>
    </row>
    <row r="90" ht="15.75" customHeight="1">
      <c r="D90" s="8"/>
      <c r="E90" s="8"/>
      <c r="F90" s="8"/>
      <c r="G90" s="8"/>
      <c r="H90" s="8"/>
      <c r="I90" s="8"/>
      <c r="J90" s="8"/>
      <c r="K90" s="8"/>
      <c r="M90" s="8"/>
      <c r="N90" s="8"/>
    </row>
    <row r="91" ht="15.75" customHeight="1">
      <c r="D91" s="8"/>
      <c r="E91" s="8"/>
      <c r="F91" s="8"/>
      <c r="G91" s="8"/>
      <c r="H91" s="8"/>
      <c r="I91" s="8"/>
      <c r="J91" s="8"/>
      <c r="K91" s="8"/>
      <c r="M91" s="8"/>
      <c r="N91" s="8"/>
    </row>
    <row r="92" ht="15.75" customHeight="1">
      <c r="D92" s="8"/>
      <c r="E92" s="8"/>
      <c r="F92" s="8"/>
      <c r="G92" s="8"/>
      <c r="H92" s="8"/>
      <c r="I92" s="8"/>
      <c r="J92" s="8"/>
      <c r="K92" s="8"/>
      <c r="M92" s="8"/>
      <c r="N92" s="8"/>
    </row>
    <row r="93" ht="15.75" customHeight="1">
      <c r="D93" s="8"/>
      <c r="E93" s="8"/>
      <c r="F93" s="8"/>
      <c r="G93" s="8"/>
      <c r="H93" s="8"/>
      <c r="I93" s="8"/>
      <c r="J93" s="8"/>
      <c r="K93" s="8"/>
      <c r="M93" s="8"/>
      <c r="N93" s="8"/>
    </row>
    <row r="94" ht="15.75" customHeight="1">
      <c r="D94" s="8"/>
      <c r="E94" s="8"/>
      <c r="F94" s="8"/>
      <c r="G94" s="8"/>
      <c r="H94" s="8"/>
      <c r="I94" s="8"/>
      <c r="J94" s="8"/>
      <c r="K94" s="8"/>
      <c r="M94" s="8"/>
      <c r="N94" s="8"/>
    </row>
    <row r="95" ht="15.75" customHeight="1">
      <c r="D95" s="8"/>
      <c r="E95" s="8"/>
      <c r="F95" s="8"/>
      <c r="G95" s="8"/>
      <c r="H95" s="8"/>
      <c r="I95" s="8"/>
      <c r="J95" s="8"/>
      <c r="K95" s="8"/>
      <c r="M95" s="8"/>
      <c r="N95" s="8"/>
    </row>
    <row r="96" ht="15.75" customHeight="1">
      <c r="D96" s="8"/>
      <c r="E96" s="8"/>
      <c r="F96" s="8"/>
      <c r="G96" s="8"/>
      <c r="H96" s="8"/>
      <c r="I96" s="8"/>
      <c r="J96" s="8"/>
      <c r="K96" s="8"/>
      <c r="M96" s="8"/>
      <c r="N96" s="8"/>
    </row>
    <row r="97" ht="15.75" customHeight="1">
      <c r="D97" s="8"/>
      <c r="E97" s="8"/>
      <c r="F97" s="8"/>
      <c r="G97" s="8"/>
      <c r="H97" s="8"/>
      <c r="I97" s="8"/>
      <c r="J97" s="8"/>
      <c r="K97" s="8"/>
      <c r="M97" s="8"/>
      <c r="N97" s="8"/>
    </row>
    <row r="98" ht="15.75" customHeight="1">
      <c r="D98" s="8"/>
      <c r="E98" s="8"/>
      <c r="F98" s="8"/>
      <c r="G98" s="8"/>
      <c r="H98" s="8"/>
      <c r="I98" s="8"/>
      <c r="J98" s="8"/>
      <c r="K98" s="8"/>
      <c r="M98" s="8"/>
      <c r="N98" s="8"/>
    </row>
    <row r="99" ht="15.75" customHeight="1">
      <c r="D99" s="8"/>
      <c r="E99" s="8"/>
      <c r="F99" s="8"/>
      <c r="G99" s="8"/>
      <c r="H99" s="8"/>
      <c r="I99" s="8"/>
      <c r="J99" s="8"/>
      <c r="K99" s="8"/>
      <c r="M99" s="8"/>
      <c r="N99" s="8"/>
    </row>
    <row r="100" ht="15.75" customHeight="1">
      <c r="D100" s="8"/>
      <c r="E100" s="8"/>
      <c r="F100" s="8"/>
      <c r="G100" s="8"/>
      <c r="H100" s="8"/>
      <c r="I100" s="8"/>
      <c r="J100" s="8"/>
      <c r="K100" s="8"/>
      <c r="M100" s="8"/>
      <c r="N100" s="8"/>
    </row>
    <row r="101" ht="15.75" customHeight="1">
      <c r="D101" s="8"/>
      <c r="E101" s="8"/>
      <c r="F101" s="8"/>
      <c r="G101" s="8"/>
      <c r="H101" s="8"/>
      <c r="I101" s="8"/>
      <c r="J101" s="8"/>
      <c r="K101" s="8"/>
      <c r="M101" s="8"/>
      <c r="N101" s="8"/>
    </row>
    <row r="102" ht="15.75" customHeight="1">
      <c r="D102" s="8"/>
      <c r="E102" s="8"/>
      <c r="F102" s="8"/>
      <c r="G102" s="8"/>
      <c r="H102" s="8"/>
      <c r="I102" s="8"/>
      <c r="J102" s="8"/>
      <c r="K102" s="8"/>
      <c r="M102" s="8"/>
      <c r="N102" s="8"/>
    </row>
    <row r="103" ht="15.75" customHeight="1">
      <c r="D103" s="8"/>
      <c r="E103" s="8"/>
      <c r="F103" s="8"/>
      <c r="G103" s="8"/>
      <c r="H103" s="8"/>
      <c r="I103" s="8"/>
      <c r="J103" s="8"/>
      <c r="K103" s="8"/>
      <c r="M103" s="8"/>
      <c r="N103" s="8"/>
    </row>
    <row r="104" ht="15.75" customHeight="1">
      <c r="D104" s="8"/>
      <c r="E104" s="8"/>
      <c r="F104" s="8"/>
      <c r="G104" s="8"/>
      <c r="H104" s="8"/>
      <c r="I104" s="8"/>
      <c r="J104" s="8"/>
      <c r="K104" s="8"/>
      <c r="M104" s="8"/>
      <c r="N104" s="8"/>
    </row>
    <row r="105" ht="15.75" customHeight="1">
      <c r="D105" s="8"/>
      <c r="E105" s="8"/>
      <c r="F105" s="8"/>
      <c r="G105" s="8"/>
      <c r="H105" s="8"/>
      <c r="I105" s="8"/>
      <c r="J105" s="8"/>
      <c r="K105" s="8"/>
      <c r="M105" s="8"/>
      <c r="N105" s="8"/>
    </row>
    <row r="106" ht="15.75" customHeight="1">
      <c r="D106" s="8"/>
      <c r="E106" s="8"/>
      <c r="F106" s="8"/>
      <c r="G106" s="8"/>
      <c r="H106" s="8"/>
      <c r="I106" s="8"/>
      <c r="J106" s="8"/>
      <c r="K106" s="8"/>
      <c r="M106" s="8"/>
      <c r="N106" s="8"/>
    </row>
    <row r="107" ht="15.75" customHeight="1">
      <c r="D107" s="8"/>
      <c r="E107" s="8"/>
      <c r="F107" s="8"/>
      <c r="G107" s="8"/>
      <c r="H107" s="8"/>
      <c r="I107" s="8"/>
      <c r="J107" s="8"/>
      <c r="K107" s="8"/>
      <c r="M107" s="8"/>
      <c r="N107" s="8"/>
    </row>
    <row r="108" ht="15.75" customHeight="1">
      <c r="D108" s="8"/>
      <c r="E108" s="8"/>
      <c r="F108" s="8"/>
      <c r="G108" s="8"/>
      <c r="H108" s="8"/>
      <c r="I108" s="8"/>
      <c r="J108" s="8"/>
      <c r="K108" s="8"/>
      <c r="M108" s="8"/>
      <c r="N108" s="8"/>
    </row>
    <row r="109" ht="15.75" customHeight="1">
      <c r="D109" s="8"/>
      <c r="E109" s="8"/>
      <c r="F109" s="8"/>
      <c r="G109" s="8"/>
      <c r="H109" s="8"/>
      <c r="I109" s="8"/>
      <c r="J109" s="8"/>
      <c r="K109" s="8"/>
      <c r="M109" s="8"/>
      <c r="N109" s="8"/>
    </row>
    <row r="110" ht="15.75" customHeight="1">
      <c r="D110" s="8"/>
      <c r="E110" s="8"/>
      <c r="F110" s="8"/>
      <c r="G110" s="8"/>
      <c r="H110" s="8"/>
      <c r="I110" s="8"/>
      <c r="J110" s="8"/>
      <c r="K110" s="8"/>
      <c r="M110" s="8"/>
      <c r="N110" s="8"/>
    </row>
    <row r="111" ht="15.75" customHeight="1">
      <c r="D111" s="8"/>
      <c r="E111" s="8"/>
      <c r="F111" s="8"/>
      <c r="G111" s="8"/>
      <c r="H111" s="8"/>
      <c r="I111" s="8"/>
      <c r="J111" s="8"/>
      <c r="K111" s="8"/>
      <c r="M111" s="8"/>
      <c r="N111" s="8"/>
    </row>
    <row r="112" ht="15.75" customHeight="1">
      <c r="D112" s="8"/>
      <c r="E112" s="8"/>
      <c r="F112" s="8"/>
      <c r="G112" s="8"/>
      <c r="H112" s="8"/>
      <c r="I112" s="8"/>
      <c r="J112" s="8"/>
      <c r="K112" s="8"/>
      <c r="M112" s="8"/>
      <c r="N112" s="8"/>
    </row>
    <row r="113" ht="15.75" customHeight="1">
      <c r="D113" s="8"/>
      <c r="E113" s="8"/>
      <c r="F113" s="8"/>
      <c r="G113" s="8"/>
      <c r="H113" s="8"/>
      <c r="I113" s="8"/>
      <c r="J113" s="8"/>
      <c r="K113" s="8"/>
      <c r="M113" s="8"/>
      <c r="N113" s="8"/>
    </row>
    <row r="114" ht="15.75" customHeight="1">
      <c r="D114" s="8"/>
      <c r="E114" s="8"/>
      <c r="F114" s="8"/>
      <c r="G114" s="8"/>
      <c r="H114" s="8"/>
      <c r="I114" s="8"/>
      <c r="J114" s="8"/>
      <c r="K114" s="8"/>
      <c r="M114" s="8"/>
      <c r="N114" s="8"/>
    </row>
    <row r="115" ht="15.75" customHeight="1">
      <c r="D115" s="8"/>
      <c r="E115" s="8"/>
      <c r="F115" s="8"/>
      <c r="G115" s="8"/>
      <c r="H115" s="8"/>
      <c r="I115" s="8"/>
      <c r="J115" s="8"/>
      <c r="K115" s="8"/>
      <c r="M115" s="8"/>
      <c r="N115" s="8"/>
    </row>
    <row r="116" ht="15.75" customHeight="1">
      <c r="D116" s="8"/>
      <c r="E116" s="8"/>
      <c r="F116" s="8"/>
      <c r="G116" s="8"/>
      <c r="H116" s="8"/>
      <c r="I116" s="8"/>
      <c r="J116" s="8"/>
      <c r="K116" s="8"/>
      <c r="M116" s="8"/>
      <c r="N116" s="8"/>
    </row>
    <row r="117" ht="15.75" customHeight="1">
      <c r="D117" s="8"/>
      <c r="E117" s="8"/>
      <c r="F117" s="8"/>
      <c r="G117" s="8"/>
      <c r="H117" s="8"/>
      <c r="I117" s="8"/>
      <c r="J117" s="8"/>
      <c r="K117" s="8"/>
      <c r="M117" s="8"/>
      <c r="N117" s="8"/>
    </row>
    <row r="118" ht="15.75" customHeight="1">
      <c r="D118" s="8"/>
      <c r="E118" s="8"/>
      <c r="F118" s="8"/>
      <c r="G118" s="8"/>
      <c r="H118" s="8"/>
      <c r="I118" s="8"/>
      <c r="J118" s="8"/>
      <c r="K118" s="8"/>
      <c r="M118" s="8"/>
      <c r="N118" s="8"/>
    </row>
    <row r="119" ht="15.75" customHeight="1">
      <c r="D119" s="8"/>
      <c r="E119" s="8"/>
      <c r="F119" s="8"/>
      <c r="G119" s="8"/>
      <c r="H119" s="8"/>
      <c r="I119" s="8"/>
      <c r="J119" s="8"/>
      <c r="K119" s="8"/>
      <c r="M119" s="8"/>
      <c r="N119" s="8"/>
    </row>
    <row r="120" ht="15.75" customHeight="1">
      <c r="D120" s="8"/>
      <c r="E120" s="8"/>
      <c r="F120" s="8"/>
      <c r="G120" s="8"/>
      <c r="H120" s="8"/>
      <c r="I120" s="8"/>
      <c r="J120" s="8"/>
      <c r="K120" s="8"/>
      <c r="M120" s="8"/>
      <c r="N120" s="8"/>
    </row>
    <row r="121" ht="15.75" customHeight="1">
      <c r="D121" s="8"/>
      <c r="E121" s="8"/>
      <c r="F121" s="8"/>
      <c r="G121" s="8"/>
      <c r="H121" s="8"/>
      <c r="I121" s="8"/>
      <c r="J121" s="8"/>
      <c r="K121" s="8"/>
      <c r="M121" s="8"/>
      <c r="N121" s="8"/>
    </row>
    <row r="122" ht="15.75" customHeight="1">
      <c r="D122" s="8"/>
      <c r="E122" s="8"/>
      <c r="F122" s="8"/>
      <c r="G122" s="8"/>
      <c r="H122" s="8"/>
      <c r="I122" s="8"/>
      <c r="J122" s="8"/>
      <c r="K122" s="8"/>
      <c r="M122" s="8"/>
      <c r="N122" s="8"/>
    </row>
    <row r="123" ht="15.75" customHeight="1">
      <c r="D123" s="8"/>
      <c r="E123" s="8"/>
      <c r="F123" s="8"/>
      <c r="G123" s="8"/>
      <c r="H123" s="8"/>
      <c r="I123" s="8"/>
      <c r="J123" s="8"/>
      <c r="K123" s="8"/>
      <c r="M123" s="8"/>
      <c r="N123" s="8"/>
    </row>
    <row r="124" ht="15.75" customHeight="1">
      <c r="D124" s="8"/>
      <c r="E124" s="8"/>
      <c r="F124" s="8"/>
      <c r="G124" s="8"/>
      <c r="H124" s="8"/>
      <c r="I124" s="8"/>
      <c r="J124" s="8"/>
      <c r="K124" s="8"/>
      <c r="M124" s="8"/>
      <c r="N124" s="8"/>
    </row>
    <row r="125" ht="15.75" customHeight="1">
      <c r="D125" s="8"/>
      <c r="E125" s="8"/>
      <c r="F125" s="8"/>
      <c r="G125" s="8"/>
      <c r="H125" s="8"/>
      <c r="I125" s="8"/>
      <c r="J125" s="8"/>
      <c r="K125" s="8"/>
      <c r="M125" s="8"/>
      <c r="N125" s="8"/>
    </row>
    <row r="126" ht="15.75" customHeight="1">
      <c r="D126" s="8"/>
      <c r="E126" s="8"/>
      <c r="F126" s="8"/>
      <c r="G126" s="8"/>
      <c r="H126" s="8"/>
      <c r="I126" s="8"/>
      <c r="J126" s="8"/>
      <c r="K126" s="8"/>
      <c r="M126" s="8"/>
      <c r="N126" s="8"/>
    </row>
    <row r="127" ht="15.75" customHeight="1">
      <c r="D127" s="8"/>
      <c r="E127" s="8"/>
      <c r="F127" s="8"/>
      <c r="G127" s="8"/>
      <c r="H127" s="8"/>
      <c r="I127" s="8"/>
      <c r="J127" s="8"/>
      <c r="K127" s="8"/>
      <c r="M127" s="8"/>
      <c r="N127" s="8"/>
    </row>
    <row r="128" ht="15.75" customHeight="1">
      <c r="D128" s="8"/>
      <c r="E128" s="8"/>
      <c r="F128" s="8"/>
      <c r="G128" s="8"/>
      <c r="H128" s="8"/>
      <c r="I128" s="8"/>
      <c r="J128" s="8"/>
      <c r="K128" s="8"/>
      <c r="M128" s="8"/>
      <c r="N128" s="8"/>
    </row>
    <row r="129" ht="15.75" customHeight="1">
      <c r="D129" s="8"/>
      <c r="E129" s="8"/>
      <c r="F129" s="8"/>
      <c r="G129" s="8"/>
      <c r="H129" s="8"/>
      <c r="I129" s="8"/>
      <c r="J129" s="8"/>
      <c r="K129" s="8"/>
      <c r="M129" s="8"/>
      <c r="N129" s="8"/>
    </row>
    <row r="130" ht="15.75" customHeight="1">
      <c r="D130" s="8"/>
      <c r="E130" s="8"/>
      <c r="F130" s="8"/>
      <c r="G130" s="8"/>
      <c r="H130" s="8"/>
      <c r="I130" s="8"/>
      <c r="J130" s="8"/>
      <c r="K130" s="8"/>
      <c r="M130" s="8"/>
      <c r="N130" s="8"/>
    </row>
    <row r="131" ht="15.75" customHeight="1">
      <c r="D131" s="8"/>
      <c r="E131" s="8"/>
      <c r="F131" s="8"/>
      <c r="G131" s="8"/>
      <c r="H131" s="8"/>
      <c r="I131" s="8"/>
      <c r="J131" s="8"/>
      <c r="K131" s="8"/>
      <c r="M131" s="8"/>
      <c r="N131" s="8"/>
    </row>
    <row r="132" ht="15.75" customHeight="1">
      <c r="D132" s="8"/>
      <c r="E132" s="8"/>
      <c r="F132" s="8"/>
      <c r="G132" s="8"/>
      <c r="H132" s="8"/>
      <c r="I132" s="8"/>
      <c r="J132" s="8"/>
      <c r="K132" s="8"/>
      <c r="M132" s="8"/>
      <c r="N132" s="8"/>
    </row>
    <row r="133" ht="15.75" customHeight="1">
      <c r="D133" s="8"/>
      <c r="E133" s="8"/>
      <c r="F133" s="8"/>
      <c r="G133" s="8"/>
      <c r="H133" s="8"/>
      <c r="I133" s="8"/>
      <c r="J133" s="8"/>
      <c r="K133" s="8"/>
      <c r="M133" s="8"/>
      <c r="N133" s="8"/>
    </row>
    <row r="134" ht="15.75" customHeight="1">
      <c r="D134" s="8"/>
      <c r="E134" s="8"/>
      <c r="F134" s="8"/>
      <c r="G134" s="8"/>
      <c r="H134" s="8"/>
      <c r="I134" s="8"/>
      <c r="J134" s="8"/>
      <c r="K134" s="8"/>
      <c r="M134" s="8"/>
      <c r="N134" s="8"/>
    </row>
    <row r="135" ht="15.75" customHeight="1">
      <c r="D135" s="8"/>
      <c r="E135" s="8"/>
      <c r="F135" s="8"/>
      <c r="G135" s="8"/>
      <c r="H135" s="8"/>
      <c r="I135" s="8"/>
      <c r="J135" s="8"/>
      <c r="K135" s="8"/>
      <c r="M135" s="8"/>
      <c r="N135" s="8"/>
    </row>
    <row r="136" ht="15.75" customHeight="1">
      <c r="D136" s="8"/>
      <c r="E136" s="8"/>
      <c r="F136" s="8"/>
      <c r="G136" s="8"/>
      <c r="H136" s="8"/>
      <c r="I136" s="8"/>
      <c r="J136" s="8"/>
      <c r="K136" s="8"/>
      <c r="M136" s="8"/>
      <c r="N136" s="8"/>
    </row>
    <row r="137" ht="15.75" customHeight="1">
      <c r="D137" s="8"/>
      <c r="E137" s="8"/>
      <c r="F137" s="8"/>
      <c r="G137" s="8"/>
      <c r="H137" s="8"/>
      <c r="I137" s="8"/>
      <c r="J137" s="8"/>
      <c r="K137" s="8"/>
      <c r="M137" s="8"/>
      <c r="N137" s="8"/>
    </row>
    <row r="138" ht="15.75" customHeight="1">
      <c r="D138" s="8"/>
      <c r="E138" s="8"/>
      <c r="F138" s="8"/>
      <c r="G138" s="8"/>
      <c r="H138" s="8"/>
      <c r="I138" s="8"/>
      <c r="J138" s="8"/>
      <c r="K138" s="8"/>
      <c r="M138" s="8"/>
      <c r="N138" s="8"/>
    </row>
    <row r="139" ht="15.75" customHeight="1">
      <c r="D139" s="8"/>
      <c r="E139" s="8"/>
      <c r="F139" s="8"/>
      <c r="G139" s="8"/>
      <c r="H139" s="8"/>
      <c r="I139" s="8"/>
      <c r="J139" s="8"/>
      <c r="K139" s="8"/>
      <c r="M139" s="8"/>
      <c r="N139" s="8"/>
    </row>
    <row r="140" ht="15.75" customHeight="1">
      <c r="D140" s="8"/>
      <c r="E140" s="8"/>
      <c r="F140" s="8"/>
      <c r="G140" s="8"/>
      <c r="H140" s="8"/>
      <c r="I140" s="8"/>
      <c r="J140" s="8"/>
      <c r="K140" s="8"/>
      <c r="M140" s="8"/>
      <c r="N140" s="8"/>
    </row>
    <row r="141" ht="15.75" customHeight="1">
      <c r="D141" s="8"/>
      <c r="E141" s="8"/>
      <c r="F141" s="8"/>
      <c r="G141" s="8"/>
      <c r="H141" s="8"/>
      <c r="I141" s="8"/>
      <c r="J141" s="8"/>
      <c r="K141" s="8"/>
      <c r="M141" s="8"/>
      <c r="N141" s="8"/>
    </row>
    <row r="142" ht="15.75" customHeight="1">
      <c r="D142" s="8"/>
      <c r="E142" s="8"/>
      <c r="F142" s="8"/>
      <c r="G142" s="8"/>
      <c r="H142" s="8"/>
      <c r="I142" s="8"/>
      <c r="J142" s="8"/>
      <c r="K142" s="8"/>
      <c r="M142" s="8"/>
      <c r="N142" s="8"/>
    </row>
    <row r="143" ht="15.75" customHeight="1">
      <c r="D143" s="8"/>
      <c r="E143" s="8"/>
      <c r="F143" s="8"/>
      <c r="G143" s="8"/>
      <c r="H143" s="8"/>
      <c r="I143" s="8"/>
      <c r="J143" s="8"/>
      <c r="K143" s="8"/>
      <c r="M143" s="8"/>
      <c r="N143" s="8"/>
    </row>
    <row r="144" ht="15.75" customHeight="1">
      <c r="D144" s="8"/>
      <c r="E144" s="8"/>
      <c r="F144" s="8"/>
      <c r="G144" s="8"/>
      <c r="H144" s="8"/>
      <c r="I144" s="8"/>
      <c r="J144" s="8"/>
      <c r="K144" s="8"/>
      <c r="M144" s="8"/>
      <c r="N144" s="8"/>
    </row>
    <row r="145" ht="15.75" customHeight="1">
      <c r="D145" s="8"/>
      <c r="E145" s="8"/>
      <c r="F145" s="8"/>
      <c r="G145" s="8"/>
      <c r="H145" s="8"/>
      <c r="I145" s="8"/>
      <c r="J145" s="8"/>
      <c r="K145" s="8"/>
      <c r="M145" s="8"/>
      <c r="N145" s="8"/>
    </row>
    <row r="146" ht="15.75" customHeight="1">
      <c r="D146" s="8"/>
      <c r="E146" s="8"/>
      <c r="F146" s="8"/>
      <c r="G146" s="8"/>
      <c r="H146" s="8"/>
      <c r="I146" s="8"/>
      <c r="J146" s="8"/>
      <c r="K146" s="8"/>
      <c r="M146" s="8"/>
      <c r="N146" s="8"/>
    </row>
    <row r="147" ht="15.75" customHeight="1">
      <c r="D147" s="8"/>
      <c r="E147" s="8"/>
      <c r="F147" s="8"/>
      <c r="G147" s="8"/>
      <c r="H147" s="8"/>
      <c r="I147" s="8"/>
      <c r="J147" s="8"/>
      <c r="K147" s="8"/>
      <c r="M147" s="8"/>
      <c r="N147" s="8"/>
    </row>
    <row r="148" ht="15.75" customHeight="1">
      <c r="D148" s="8"/>
      <c r="E148" s="8"/>
      <c r="F148" s="8"/>
      <c r="G148" s="8"/>
      <c r="H148" s="8"/>
      <c r="I148" s="8"/>
      <c r="J148" s="8"/>
      <c r="K148" s="8"/>
      <c r="M148" s="8"/>
      <c r="N148" s="8"/>
    </row>
    <row r="149" ht="15.75" customHeight="1">
      <c r="D149" s="8"/>
      <c r="E149" s="8"/>
      <c r="F149" s="8"/>
      <c r="G149" s="8"/>
      <c r="H149" s="8"/>
      <c r="I149" s="8"/>
      <c r="J149" s="8"/>
      <c r="K149" s="8"/>
      <c r="M149" s="8"/>
      <c r="N149" s="8"/>
    </row>
    <row r="150" ht="15.75" customHeight="1">
      <c r="D150" s="8"/>
      <c r="E150" s="8"/>
      <c r="F150" s="8"/>
      <c r="G150" s="8"/>
      <c r="H150" s="8"/>
      <c r="I150" s="8"/>
      <c r="J150" s="8"/>
      <c r="K150" s="8"/>
      <c r="M150" s="8"/>
      <c r="N150" s="8"/>
    </row>
    <row r="151" ht="15.75" customHeight="1">
      <c r="D151" s="8"/>
      <c r="E151" s="8"/>
      <c r="F151" s="8"/>
      <c r="G151" s="8"/>
      <c r="H151" s="8"/>
      <c r="I151" s="8"/>
      <c r="J151" s="8"/>
      <c r="K151" s="8"/>
      <c r="M151" s="8"/>
      <c r="N151" s="8"/>
    </row>
    <row r="152" ht="15.75" customHeight="1">
      <c r="D152" s="8"/>
      <c r="E152" s="8"/>
      <c r="F152" s="8"/>
      <c r="G152" s="8"/>
      <c r="H152" s="8"/>
      <c r="I152" s="8"/>
      <c r="J152" s="8"/>
      <c r="K152" s="8"/>
      <c r="M152" s="8"/>
      <c r="N152" s="8"/>
    </row>
    <row r="153" ht="15.75" customHeight="1">
      <c r="D153" s="8"/>
      <c r="E153" s="8"/>
      <c r="F153" s="8"/>
      <c r="G153" s="8"/>
      <c r="H153" s="8"/>
      <c r="I153" s="8"/>
      <c r="J153" s="8"/>
      <c r="K153" s="8"/>
      <c r="M153" s="8"/>
      <c r="N153" s="8"/>
    </row>
    <row r="154" ht="15.75" customHeight="1">
      <c r="D154" s="8"/>
      <c r="E154" s="8"/>
      <c r="F154" s="8"/>
      <c r="G154" s="8"/>
      <c r="H154" s="8"/>
      <c r="I154" s="8"/>
      <c r="J154" s="8"/>
      <c r="K154" s="8"/>
      <c r="M154" s="8"/>
      <c r="N154" s="8"/>
    </row>
    <row r="155" ht="15.75" customHeight="1">
      <c r="D155" s="8"/>
      <c r="E155" s="8"/>
      <c r="F155" s="8"/>
      <c r="G155" s="8"/>
      <c r="H155" s="8"/>
      <c r="I155" s="8"/>
      <c r="J155" s="8"/>
      <c r="K155" s="8"/>
      <c r="M155" s="8"/>
      <c r="N155" s="8"/>
    </row>
    <row r="156" ht="15.75" customHeight="1">
      <c r="D156" s="8"/>
      <c r="E156" s="8"/>
      <c r="F156" s="8"/>
      <c r="G156" s="8"/>
      <c r="H156" s="8"/>
      <c r="I156" s="8"/>
      <c r="J156" s="8"/>
      <c r="K156" s="8"/>
      <c r="M156" s="8"/>
      <c r="N156" s="8"/>
    </row>
    <row r="157" ht="15.75" customHeight="1">
      <c r="D157" s="8"/>
      <c r="E157" s="8"/>
      <c r="F157" s="8"/>
      <c r="G157" s="8"/>
      <c r="H157" s="8"/>
      <c r="I157" s="8"/>
      <c r="J157" s="8"/>
      <c r="K157" s="8"/>
      <c r="M157" s="8"/>
      <c r="N157" s="8"/>
    </row>
    <row r="158" ht="15.75" customHeight="1">
      <c r="D158" s="8"/>
      <c r="E158" s="8"/>
      <c r="F158" s="8"/>
      <c r="G158" s="8"/>
      <c r="H158" s="8"/>
      <c r="I158" s="8"/>
      <c r="J158" s="8"/>
      <c r="K158" s="8"/>
      <c r="M158" s="8"/>
      <c r="N158" s="8"/>
    </row>
    <row r="159" ht="15.75" customHeight="1">
      <c r="D159" s="8"/>
      <c r="E159" s="8"/>
      <c r="F159" s="8"/>
      <c r="G159" s="8"/>
      <c r="H159" s="8"/>
      <c r="I159" s="8"/>
      <c r="J159" s="8"/>
      <c r="K159" s="8"/>
      <c r="M159" s="8"/>
      <c r="N159" s="8"/>
    </row>
    <row r="160" ht="15.75" customHeight="1">
      <c r="D160" s="8"/>
      <c r="E160" s="8"/>
      <c r="F160" s="8"/>
      <c r="G160" s="8"/>
      <c r="H160" s="8"/>
      <c r="I160" s="8"/>
      <c r="J160" s="8"/>
      <c r="K160" s="8"/>
      <c r="M160" s="8"/>
      <c r="N160" s="8"/>
    </row>
    <row r="161" ht="15.75" customHeight="1">
      <c r="D161" s="8"/>
      <c r="E161" s="8"/>
      <c r="F161" s="8"/>
      <c r="G161" s="8"/>
      <c r="H161" s="8"/>
      <c r="I161" s="8"/>
      <c r="J161" s="8"/>
      <c r="K161" s="8"/>
      <c r="M161" s="8"/>
      <c r="N161" s="8"/>
    </row>
    <row r="162" ht="15.75" customHeight="1">
      <c r="D162" s="8"/>
      <c r="E162" s="8"/>
      <c r="F162" s="8"/>
      <c r="G162" s="8"/>
      <c r="H162" s="8"/>
      <c r="I162" s="8"/>
      <c r="J162" s="8"/>
      <c r="K162" s="8"/>
      <c r="M162" s="8"/>
      <c r="N162" s="8"/>
    </row>
    <row r="163" ht="15.75" customHeight="1">
      <c r="D163" s="8"/>
      <c r="E163" s="8"/>
      <c r="F163" s="8"/>
      <c r="G163" s="8"/>
      <c r="H163" s="8"/>
      <c r="I163" s="8"/>
      <c r="J163" s="8"/>
      <c r="K163" s="8"/>
      <c r="M163" s="8"/>
      <c r="N163" s="8"/>
    </row>
    <row r="164" ht="15.75" customHeight="1">
      <c r="D164" s="8"/>
      <c r="E164" s="8"/>
      <c r="F164" s="8"/>
      <c r="G164" s="8"/>
      <c r="H164" s="8"/>
      <c r="I164" s="8"/>
      <c r="J164" s="8"/>
      <c r="K164" s="8"/>
      <c r="M164" s="8"/>
      <c r="N164" s="8"/>
    </row>
    <row r="165" ht="15.75" customHeight="1">
      <c r="D165" s="8"/>
      <c r="E165" s="8"/>
      <c r="F165" s="8"/>
      <c r="G165" s="8"/>
      <c r="H165" s="8"/>
      <c r="I165" s="8"/>
      <c r="J165" s="8"/>
      <c r="K165" s="8"/>
      <c r="M165" s="8"/>
      <c r="N165" s="8"/>
    </row>
    <row r="166" ht="15.75" customHeight="1">
      <c r="D166" s="8"/>
      <c r="E166" s="8"/>
      <c r="F166" s="8"/>
      <c r="G166" s="8"/>
      <c r="H166" s="8"/>
      <c r="I166" s="8"/>
      <c r="J166" s="8"/>
      <c r="K166" s="8"/>
      <c r="M166" s="8"/>
      <c r="N166" s="8"/>
    </row>
    <row r="167" ht="15.75" customHeight="1">
      <c r="D167" s="8"/>
      <c r="E167" s="8"/>
      <c r="F167" s="8"/>
      <c r="G167" s="8"/>
      <c r="H167" s="8"/>
      <c r="I167" s="8"/>
      <c r="J167" s="8"/>
      <c r="K167" s="8"/>
      <c r="M167" s="8"/>
      <c r="N167" s="8"/>
    </row>
    <row r="168" ht="15.75" customHeight="1">
      <c r="D168" s="8"/>
      <c r="E168" s="8"/>
      <c r="F168" s="8"/>
      <c r="G168" s="8"/>
      <c r="H168" s="8"/>
      <c r="I168" s="8"/>
      <c r="J168" s="8"/>
      <c r="K168" s="8"/>
      <c r="M168" s="8"/>
      <c r="N168" s="8"/>
    </row>
    <row r="169" ht="15.75" customHeight="1">
      <c r="D169" s="8"/>
      <c r="E169" s="8"/>
      <c r="F169" s="8"/>
      <c r="G169" s="8"/>
      <c r="H169" s="8"/>
      <c r="I169" s="8"/>
      <c r="J169" s="8"/>
      <c r="K169" s="8"/>
      <c r="M169" s="8"/>
      <c r="N169" s="8"/>
    </row>
    <row r="170" ht="15.75" customHeight="1">
      <c r="D170" s="8"/>
      <c r="E170" s="8"/>
      <c r="F170" s="8"/>
      <c r="G170" s="8"/>
      <c r="H170" s="8"/>
      <c r="I170" s="8"/>
      <c r="J170" s="8"/>
      <c r="K170" s="8"/>
      <c r="M170" s="8"/>
      <c r="N170" s="8"/>
    </row>
    <row r="171" ht="15.75" customHeight="1">
      <c r="D171" s="8"/>
      <c r="E171" s="8"/>
      <c r="F171" s="8"/>
      <c r="G171" s="8"/>
      <c r="H171" s="8"/>
      <c r="I171" s="8"/>
      <c r="J171" s="8"/>
      <c r="K171" s="8"/>
      <c r="M171" s="8"/>
      <c r="N171" s="8"/>
    </row>
    <row r="172" ht="15.75" customHeight="1">
      <c r="D172" s="8"/>
      <c r="E172" s="8"/>
      <c r="F172" s="8"/>
      <c r="G172" s="8"/>
      <c r="H172" s="8"/>
      <c r="I172" s="8"/>
      <c r="J172" s="8"/>
      <c r="K172" s="8"/>
      <c r="M172" s="8"/>
      <c r="N172" s="8"/>
    </row>
    <row r="173" ht="15.75" customHeight="1">
      <c r="D173" s="8"/>
      <c r="E173" s="8"/>
      <c r="F173" s="8"/>
      <c r="G173" s="8"/>
      <c r="H173" s="8"/>
      <c r="I173" s="8"/>
      <c r="J173" s="8"/>
      <c r="K173" s="8"/>
      <c r="M173" s="8"/>
      <c r="N173" s="8"/>
    </row>
    <row r="174" ht="15.75" customHeight="1">
      <c r="D174" s="8"/>
      <c r="E174" s="8"/>
      <c r="F174" s="8"/>
      <c r="G174" s="8"/>
      <c r="H174" s="8"/>
      <c r="I174" s="8"/>
      <c r="J174" s="8"/>
      <c r="K174" s="8"/>
      <c r="M174" s="8"/>
      <c r="N174" s="8"/>
    </row>
    <row r="175" ht="15.75" customHeight="1">
      <c r="D175" s="8"/>
      <c r="E175" s="8"/>
      <c r="F175" s="8"/>
      <c r="G175" s="8"/>
      <c r="H175" s="8"/>
      <c r="I175" s="8"/>
      <c r="J175" s="8"/>
      <c r="K175" s="8"/>
      <c r="M175" s="8"/>
      <c r="N175" s="8"/>
    </row>
    <row r="176" ht="15.75" customHeight="1">
      <c r="D176" s="8"/>
      <c r="E176" s="8"/>
      <c r="F176" s="8"/>
      <c r="G176" s="8"/>
      <c r="H176" s="8"/>
      <c r="I176" s="8"/>
      <c r="J176" s="8"/>
      <c r="K176" s="8"/>
      <c r="M176" s="8"/>
      <c r="N176" s="8"/>
    </row>
    <row r="177" ht="15.75" customHeight="1">
      <c r="D177" s="8"/>
      <c r="E177" s="8"/>
      <c r="F177" s="8"/>
      <c r="G177" s="8"/>
      <c r="H177" s="8"/>
      <c r="I177" s="8"/>
      <c r="J177" s="8"/>
      <c r="K177" s="8"/>
      <c r="M177" s="8"/>
      <c r="N177" s="8"/>
    </row>
    <row r="178" ht="15.75" customHeight="1">
      <c r="D178" s="8"/>
      <c r="E178" s="8"/>
      <c r="F178" s="8"/>
      <c r="G178" s="8"/>
      <c r="H178" s="8"/>
      <c r="I178" s="8"/>
      <c r="J178" s="8"/>
      <c r="K178" s="8"/>
      <c r="M178" s="8"/>
      <c r="N178" s="8"/>
    </row>
    <row r="179" ht="15.75" customHeight="1">
      <c r="D179" s="8"/>
      <c r="E179" s="8"/>
      <c r="F179" s="8"/>
      <c r="G179" s="8"/>
      <c r="H179" s="8"/>
      <c r="I179" s="8"/>
      <c r="J179" s="8"/>
      <c r="K179" s="8"/>
      <c r="M179" s="8"/>
      <c r="N179" s="8"/>
    </row>
    <row r="180" ht="15.75" customHeight="1">
      <c r="D180" s="8"/>
      <c r="E180" s="8"/>
      <c r="F180" s="8"/>
      <c r="G180" s="8"/>
      <c r="H180" s="8"/>
      <c r="I180" s="8"/>
      <c r="J180" s="8"/>
      <c r="K180" s="8"/>
      <c r="M180" s="8"/>
      <c r="N180" s="8"/>
    </row>
    <row r="181" ht="15.75" customHeight="1">
      <c r="D181" s="8"/>
      <c r="E181" s="8"/>
      <c r="F181" s="8"/>
      <c r="G181" s="8"/>
      <c r="H181" s="8"/>
      <c r="I181" s="8"/>
      <c r="J181" s="8"/>
      <c r="K181" s="8"/>
      <c r="M181" s="8"/>
      <c r="N181" s="8"/>
    </row>
    <row r="182" ht="15.75" customHeight="1">
      <c r="D182" s="8"/>
      <c r="E182" s="8"/>
      <c r="F182" s="8"/>
      <c r="G182" s="8"/>
      <c r="H182" s="8"/>
      <c r="I182" s="8"/>
      <c r="J182" s="8"/>
      <c r="K182" s="8"/>
      <c r="M182" s="8"/>
      <c r="N182" s="8"/>
    </row>
    <row r="183" ht="15.75" customHeight="1">
      <c r="D183" s="8"/>
      <c r="E183" s="8"/>
      <c r="F183" s="8"/>
      <c r="G183" s="8"/>
      <c r="H183" s="8"/>
      <c r="I183" s="8"/>
      <c r="J183" s="8"/>
      <c r="K183" s="8"/>
      <c r="M183" s="8"/>
      <c r="N183" s="8"/>
    </row>
    <row r="184" ht="15.75" customHeight="1">
      <c r="D184" s="8"/>
      <c r="E184" s="8"/>
      <c r="F184" s="8"/>
      <c r="G184" s="8"/>
      <c r="H184" s="8"/>
      <c r="I184" s="8"/>
      <c r="J184" s="8"/>
      <c r="K184" s="8"/>
      <c r="M184" s="8"/>
      <c r="N184" s="8"/>
    </row>
    <row r="185" ht="15.75" customHeight="1">
      <c r="D185" s="8"/>
      <c r="E185" s="8"/>
      <c r="F185" s="8"/>
      <c r="G185" s="8"/>
      <c r="H185" s="8"/>
      <c r="I185" s="8"/>
      <c r="J185" s="8"/>
      <c r="K185" s="8"/>
      <c r="M185" s="8"/>
      <c r="N185" s="8"/>
    </row>
    <row r="186" ht="15.75" customHeight="1">
      <c r="D186" s="8"/>
      <c r="E186" s="8"/>
      <c r="F186" s="8"/>
      <c r="G186" s="8"/>
      <c r="H186" s="8"/>
      <c r="I186" s="8"/>
      <c r="J186" s="8"/>
      <c r="K186" s="8"/>
      <c r="M186" s="8"/>
      <c r="N186" s="8"/>
    </row>
    <row r="187" ht="15.75" customHeight="1">
      <c r="D187" s="8"/>
      <c r="E187" s="8"/>
      <c r="F187" s="8"/>
      <c r="G187" s="8"/>
      <c r="H187" s="8"/>
      <c r="I187" s="8"/>
      <c r="J187" s="8"/>
      <c r="K187" s="8"/>
      <c r="M187" s="8"/>
      <c r="N187" s="8"/>
    </row>
    <row r="188" ht="15.75" customHeight="1">
      <c r="D188" s="8"/>
      <c r="E188" s="8"/>
      <c r="F188" s="8"/>
      <c r="G188" s="8"/>
      <c r="H188" s="8"/>
      <c r="I188" s="8"/>
      <c r="J188" s="8"/>
      <c r="K188" s="8"/>
      <c r="M188" s="8"/>
      <c r="N188" s="8"/>
    </row>
    <row r="189" ht="15.75" customHeight="1">
      <c r="D189" s="8"/>
      <c r="E189" s="8"/>
      <c r="F189" s="8"/>
      <c r="G189" s="8"/>
      <c r="H189" s="8"/>
      <c r="I189" s="8"/>
      <c r="J189" s="8"/>
      <c r="K189" s="8"/>
      <c r="M189" s="8"/>
      <c r="N189" s="8"/>
    </row>
    <row r="190" ht="15.75" customHeight="1">
      <c r="D190" s="8"/>
      <c r="E190" s="8"/>
      <c r="F190" s="8"/>
      <c r="G190" s="8"/>
      <c r="H190" s="8"/>
      <c r="I190" s="8"/>
      <c r="J190" s="8"/>
      <c r="K190" s="8"/>
      <c r="M190" s="8"/>
      <c r="N190" s="8"/>
    </row>
    <row r="191" ht="15.75" customHeight="1">
      <c r="D191" s="8"/>
      <c r="E191" s="8"/>
      <c r="F191" s="8"/>
      <c r="G191" s="8"/>
      <c r="H191" s="8"/>
      <c r="I191" s="8"/>
      <c r="J191" s="8"/>
      <c r="K191" s="8"/>
      <c r="M191" s="8"/>
      <c r="N191" s="8"/>
    </row>
    <row r="192" ht="15.75" customHeight="1">
      <c r="D192" s="8"/>
      <c r="E192" s="8"/>
      <c r="F192" s="8"/>
      <c r="G192" s="8"/>
      <c r="H192" s="8"/>
      <c r="I192" s="8"/>
      <c r="J192" s="8"/>
      <c r="K192" s="8"/>
      <c r="M192" s="8"/>
      <c r="N192" s="8"/>
    </row>
    <row r="193" ht="15.75" customHeight="1">
      <c r="D193" s="8"/>
      <c r="E193" s="8"/>
      <c r="F193" s="8"/>
      <c r="G193" s="8"/>
      <c r="H193" s="8"/>
      <c r="I193" s="8"/>
      <c r="J193" s="8"/>
      <c r="K193" s="8"/>
      <c r="M193" s="8"/>
      <c r="N193" s="8"/>
    </row>
    <row r="194" ht="15.75" customHeight="1">
      <c r="D194" s="8"/>
      <c r="E194" s="8"/>
      <c r="F194" s="8"/>
      <c r="G194" s="8"/>
      <c r="H194" s="8"/>
      <c r="I194" s="8"/>
      <c r="J194" s="8"/>
      <c r="K194" s="8"/>
      <c r="M194" s="8"/>
      <c r="N194" s="8"/>
    </row>
    <row r="195" ht="15.75" customHeight="1">
      <c r="D195" s="8"/>
      <c r="E195" s="8"/>
      <c r="F195" s="8"/>
      <c r="G195" s="8"/>
      <c r="H195" s="8"/>
      <c r="I195" s="8"/>
      <c r="J195" s="8"/>
      <c r="K195" s="8"/>
      <c r="M195" s="8"/>
      <c r="N195" s="8"/>
    </row>
    <row r="196" ht="15.75" customHeight="1">
      <c r="D196" s="8"/>
      <c r="E196" s="8"/>
      <c r="F196" s="8"/>
      <c r="G196" s="8"/>
      <c r="H196" s="8"/>
      <c r="I196" s="8"/>
      <c r="J196" s="8"/>
      <c r="K196" s="8"/>
      <c r="M196" s="8"/>
      <c r="N196" s="8"/>
    </row>
    <row r="197" ht="15.75" customHeight="1">
      <c r="D197" s="8"/>
      <c r="E197" s="8"/>
      <c r="F197" s="8"/>
      <c r="G197" s="8"/>
      <c r="H197" s="8"/>
      <c r="I197" s="8"/>
      <c r="J197" s="8"/>
      <c r="K197" s="8"/>
      <c r="M197" s="8"/>
      <c r="N197" s="8"/>
    </row>
    <row r="198" ht="15.75" customHeight="1">
      <c r="D198" s="8"/>
      <c r="E198" s="8"/>
      <c r="F198" s="8"/>
      <c r="G198" s="8"/>
      <c r="H198" s="8"/>
      <c r="I198" s="8"/>
      <c r="J198" s="8"/>
      <c r="K198" s="8"/>
      <c r="M198" s="8"/>
      <c r="N198" s="8"/>
    </row>
    <row r="199" ht="15.75" customHeight="1">
      <c r="D199" s="8"/>
      <c r="E199" s="8"/>
      <c r="F199" s="8"/>
      <c r="G199" s="8"/>
      <c r="H199" s="8"/>
      <c r="I199" s="8"/>
      <c r="J199" s="8"/>
      <c r="K199" s="8"/>
      <c r="M199" s="8"/>
      <c r="N199" s="8"/>
    </row>
    <row r="200" ht="15.75" customHeight="1">
      <c r="D200" s="8"/>
      <c r="E200" s="8"/>
      <c r="F200" s="8"/>
      <c r="G200" s="8"/>
      <c r="H200" s="8"/>
      <c r="I200" s="8"/>
      <c r="J200" s="8"/>
      <c r="K200" s="8"/>
      <c r="M200" s="8"/>
      <c r="N200" s="8"/>
    </row>
    <row r="201" ht="15.75" customHeight="1">
      <c r="D201" s="8"/>
      <c r="E201" s="8"/>
      <c r="F201" s="8"/>
      <c r="G201" s="8"/>
      <c r="H201" s="8"/>
      <c r="I201" s="8"/>
      <c r="J201" s="8"/>
      <c r="K201" s="8"/>
      <c r="M201" s="8"/>
      <c r="N201" s="8"/>
    </row>
    <row r="202" ht="15.75" customHeight="1">
      <c r="D202" s="8"/>
      <c r="E202" s="8"/>
      <c r="F202" s="8"/>
      <c r="G202" s="8"/>
      <c r="H202" s="8"/>
      <c r="I202" s="8"/>
      <c r="J202" s="8"/>
      <c r="K202" s="8"/>
      <c r="M202" s="8"/>
      <c r="N202" s="8"/>
    </row>
    <row r="203" ht="15.75" customHeight="1">
      <c r="D203" s="8"/>
      <c r="E203" s="8"/>
      <c r="F203" s="8"/>
      <c r="G203" s="8"/>
      <c r="H203" s="8"/>
      <c r="I203" s="8"/>
      <c r="J203" s="8"/>
      <c r="K203" s="8"/>
      <c r="M203" s="8"/>
      <c r="N203" s="8"/>
    </row>
    <row r="204" ht="15.75" customHeight="1">
      <c r="D204" s="8"/>
      <c r="E204" s="8"/>
      <c r="F204" s="8"/>
      <c r="G204" s="8"/>
      <c r="H204" s="8"/>
      <c r="I204" s="8"/>
      <c r="J204" s="8"/>
      <c r="K204" s="8"/>
      <c r="M204" s="8"/>
      <c r="N204" s="8"/>
    </row>
    <row r="205" ht="15.75" customHeight="1">
      <c r="D205" s="8"/>
      <c r="E205" s="8"/>
      <c r="F205" s="8"/>
      <c r="G205" s="8"/>
      <c r="H205" s="8"/>
      <c r="I205" s="8"/>
      <c r="J205" s="8"/>
      <c r="K205" s="8"/>
      <c r="M205" s="8"/>
      <c r="N205" s="8"/>
    </row>
    <row r="206" ht="15.75" customHeight="1">
      <c r="D206" s="8"/>
      <c r="E206" s="8"/>
      <c r="F206" s="8"/>
      <c r="G206" s="8"/>
      <c r="H206" s="8"/>
      <c r="I206" s="8"/>
      <c r="J206" s="8"/>
      <c r="K206" s="8"/>
      <c r="M206" s="8"/>
      <c r="N206" s="8"/>
    </row>
    <row r="207" ht="15.75" customHeight="1">
      <c r="D207" s="8"/>
      <c r="E207" s="8"/>
      <c r="F207" s="8"/>
      <c r="G207" s="8"/>
      <c r="H207" s="8"/>
      <c r="I207" s="8"/>
      <c r="J207" s="8"/>
      <c r="K207" s="8"/>
      <c r="M207" s="8"/>
      <c r="N207" s="8"/>
    </row>
    <row r="208" ht="15.75" customHeight="1">
      <c r="D208" s="8"/>
      <c r="E208" s="8"/>
      <c r="F208" s="8"/>
      <c r="G208" s="8"/>
      <c r="H208" s="8"/>
      <c r="I208" s="8"/>
      <c r="J208" s="8"/>
      <c r="K208" s="8"/>
      <c r="M208" s="8"/>
      <c r="N208" s="8"/>
    </row>
    <row r="209" ht="15.75" customHeight="1">
      <c r="D209" s="8"/>
      <c r="E209" s="8"/>
      <c r="F209" s="8"/>
      <c r="G209" s="8"/>
      <c r="H209" s="8"/>
      <c r="I209" s="8"/>
      <c r="J209" s="8"/>
      <c r="K209" s="8"/>
      <c r="M209" s="8"/>
      <c r="N209" s="8"/>
    </row>
    <row r="210" ht="15.75" customHeight="1">
      <c r="D210" s="8"/>
      <c r="E210" s="8"/>
      <c r="F210" s="8"/>
      <c r="G210" s="8"/>
      <c r="H210" s="8"/>
      <c r="I210" s="8"/>
      <c r="J210" s="8"/>
      <c r="K210" s="8"/>
      <c r="M210" s="8"/>
      <c r="N210" s="8"/>
    </row>
    <row r="211" ht="15.75" customHeight="1">
      <c r="D211" s="8"/>
      <c r="E211" s="8"/>
      <c r="F211" s="8"/>
      <c r="G211" s="8"/>
      <c r="H211" s="8"/>
      <c r="I211" s="8"/>
      <c r="J211" s="8"/>
      <c r="K211" s="8"/>
      <c r="M211" s="8"/>
      <c r="N211" s="8"/>
    </row>
    <row r="212" ht="15.75" customHeight="1">
      <c r="D212" s="8"/>
      <c r="E212" s="8"/>
      <c r="F212" s="8"/>
      <c r="G212" s="8"/>
      <c r="H212" s="8"/>
      <c r="I212" s="8"/>
      <c r="J212" s="8"/>
      <c r="K212" s="8"/>
      <c r="M212" s="8"/>
      <c r="N212" s="8"/>
    </row>
    <row r="213" ht="15.75" customHeight="1">
      <c r="D213" s="8"/>
      <c r="E213" s="8"/>
      <c r="F213" s="8"/>
      <c r="G213" s="8"/>
      <c r="H213" s="8"/>
      <c r="I213" s="8"/>
      <c r="J213" s="8"/>
      <c r="K213" s="8"/>
      <c r="M213" s="8"/>
      <c r="N213" s="8"/>
    </row>
    <row r="214" ht="15.75" customHeight="1">
      <c r="D214" s="8"/>
      <c r="E214" s="8"/>
      <c r="F214" s="8"/>
      <c r="G214" s="8"/>
      <c r="H214" s="8"/>
      <c r="I214" s="8"/>
      <c r="J214" s="8"/>
      <c r="K214" s="8"/>
      <c r="M214" s="8"/>
      <c r="N214" s="8"/>
    </row>
    <row r="215" ht="15.75" customHeight="1">
      <c r="D215" s="8"/>
      <c r="E215" s="8"/>
      <c r="F215" s="8"/>
      <c r="G215" s="8"/>
      <c r="H215" s="8"/>
      <c r="I215" s="8"/>
      <c r="J215" s="8"/>
      <c r="K215" s="8"/>
      <c r="M215" s="8"/>
      <c r="N215" s="8"/>
    </row>
    <row r="216" ht="15.75" customHeight="1">
      <c r="D216" s="8"/>
      <c r="E216" s="8"/>
      <c r="F216" s="8"/>
      <c r="G216" s="8"/>
      <c r="H216" s="8"/>
      <c r="I216" s="8"/>
      <c r="J216" s="8"/>
      <c r="K216" s="8"/>
      <c r="M216" s="8"/>
      <c r="N216" s="8"/>
    </row>
    <row r="217" ht="15.75" customHeight="1">
      <c r="D217" s="8"/>
      <c r="E217" s="8"/>
      <c r="F217" s="8"/>
      <c r="G217" s="8"/>
      <c r="H217" s="8"/>
      <c r="I217" s="8"/>
      <c r="J217" s="8"/>
      <c r="K217" s="8"/>
      <c r="M217" s="8"/>
      <c r="N217" s="8"/>
    </row>
    <row r="218" ht="15.75" customHeight="1">
      <c r="D218" s="8"/>
      <c r="E218" s="8"/>
      <c r="F218" s="8"/>
      <c r="G218" s="8"/>
      <c r="H218" s="8"/>
      <c r="I218" s="8"/>
      <c r="J218" s="8"/>
      <c r="K218" s="8"/>
      <c r="M218" s="8"/>
      <c r="N218" s="8"/>
    </row>
    <row r="219" ht="15.75" customHeight="1">
      <c r="D219" s="8"/>
      <c r="E219" s="8"/>
      <c r="F219" s="8"/>
      <c r="G219" s="8"/>
      <c r="H219" s="8"/>
      <c r="I219" s="8"/>
      <c r="J219" s="8"/>
      <c r="K219" s="8"/>
      <c r="M219" s="8"/>
      <c r="N219" s="8"/>
    </row>
    <row r="220" ht="15.75" customHeight="1">
      <c r="D220" s="8"/>
      <c r="E220" s="8"/>
      <c r="F220" s="8"/>
      <c r="G220" s="8"/>
      <c r="H220" s="8"/>
      <c r="I220" s="8"/>
      <c r="J220" s="8"/>
      <c r="K220" s="8"/>
      <c r="M220" s="8"/>
      <c r="N220" s="8"/>
    </row>
    <row r="221" ht="15.75" customHeight="1">
      <c r="D221" s="8"/>
      <c r="E221" s="8"/>
      <c r="F221" s="8"/>
      <c r="G221" s="8"/>
      <c r="H221" s="8"/>
      <c r="I221" s="8"/>
      <c r="J221" s="8"/>
      <c r="K221" s="8"/>
      <c r="M221" s="8"/>
      <c r="N221" s="8"/>
    </row>
    <row r="222" ht="15.75" customHeight="1">
      <c r="D222" s="8"/>
      <c r="E222" s="8"/>
      <c r="F222" s="8"/>
      <c r="G222" s="8"/>
      <c r="H222" s="8"/>
      <c r="I222" s="8"/>
      <c r="J222" s="8"/>
      <c r="K222" s="8"/>
      <c r="M222" s="8"/>
      <c r="N222" s="8"/>
    </row>
    <row r="223" ht="15.75" customHeight="1">
      <c r="D223" s="8"/>
      <c r="E223" s="8"/>
      <c r="F223" s="8"/>
      <c r="G223" s="8"/>
      <c r="H223" s="8"/>
      <c r="I223" s="8"/>
      <c r="J223" s="8"/>
      <c r="K223" s="8"/>
      <c r="M223" s="8"/>
      <c r="N223" s="8"/>
    </row>
    <row r="224" ht="15.75" customHeight="1">
      <c r="D224" s="8"/>
      <c r="E224" s="8"/>
      <c r="F224" s="8"/>
      <c r="G224" s="8"/>
      <c r="H224" s="8"/>
      <c r="I224" s="8"/>
      <c r="J224" s="8"/>
      <c r="K224" s="8"/>
      <c r="M224" s="8"/>
      <c r="N224" s="8"/>
    </row>
    <row r="225" ht="15.75" customHeight="1">
      <c r="D225" s="8"/>
      <c r="E225" s="8"/>
      <c r="F225" s="8"/>
      <c r="G225" s="8"/>
      <c r="H225" s="8"/>
      <c r="I225" s="8"/>
      <c r="J225" s="8"/>
      <c r="K225" s="8"/>
      <c r="M225" s="8"/>
      <c r="N225" s="8"/>
    </row>
    <row r="226" ht="15.75" customHeight="1">
      <c r="D226" s="8"/>
      <c r="E226" s="8"/>
      <c r="F226" s="8"/>
      <c r="G226" s="8"/>
      <c r="H226" s="8"/>
      <c r="I226" s="8"/>
      <c r="J226" s="8"/>
      <c r="K226" s="8"/>
      <c r="M226" s="8"/>
      <c r="N226" s="8"/>
    </row>
    <row r="227" ht="15.75" customHeight="1">
      <c r="D227" s="8"/>
      <c r="E227" s="8"/>
      <c r="F227" s="8"/>
      <c r="G227" s="8"/>
      <c r="H227" s="8"/>
      <c r="I227" s="8"/>
      <c r="J227" s="8"/>
      <c r="K227" s="8"/>
      <c r="M227" s="8"/>
      <c r="N227" s="8"/>
    </row>
    <row r="228" ht="15.75" customHeight="1">
      <c r="D228" s="8"/>
      <c r="E228" s="8"/>
      <c r="F228" s="8"/>
      <c r="G228" s="8"/>
      <c r="H228" s="8"/>
      <c r="I228" s="8"/>
      <c r="J228" s="8"/>
      <c r="K228" s="8"/>
      <c r="M228" s="8"/>
      <c r="N228" s="8"/>
    </row>
    <row r="229" ht="15.75" customHeight="1">
      <c r="D229" s="8"/>
      <c r="E229" s="8"/>
      <c r="F229" s="8"/>
      <c r="G229" s="8"/>
      <c r="H229" s="8"/>
      <c r="I229" s="8"/>
      <c r="J229" s="8"/>
      <c r="K229" s="8"/>
      <c r="M229" s="8"/>
      <c r="N229" s="8"/>
    </row>
    <row r="230" ht="15.75" customHeight="1">
      <c r="D230" s="8"/>
      <c r="E230" s="8"/>
      <c r="F230" s="8"/>
      <c r="G230" s="8"/>
      <c r="H230" s="8"/>
      <c r="I230" s="8"/>
      <c r="J230" s="8"/>
      <c r="K230" s="8"/>
      <c r="M230" s="8"/>
      <c r="N230" s="8"/>
    </row>
    <row r="231" ht="15.75" customHeight="1">
      <c r="D231" s="8"/>
      <c r="E231" s="8"/>
      <c r="F231" s="8"/>
      <c r="G231" s="8"/>
      <c r="H231" s="8"/>
      <c r="I231" s="8"/>
      <c r="J231" s="8"/>
      <c r="K231" s="8"/>
      <c r="M231" s="8"/>
      <c r="N231" s="8"/>
    </row>
    <row r="232" ht="15.75" customHeight="1">
      <c r="D232" s="8"/>
      <c r="E232" s="8"/>
      <c r="F232" s="8"/>
      <c r="G232" s="8"/>
      <c r="H232" s="8"/>
      <c r="I232" s="8"/>
      <c r="J232" s="8"/>
      <c r="K232" s="8"/>
      <c r="M232" s="8"/>
      <c r="N232" s="8"/>
    </row>
    <row r="233" ht="15.75" customHeight="1">
      <c r="D233" s="8"/>
      <c r="E233" s="8"/>
      <c r="F233" s="8"/>
      <c r="G233" s="8"/>
      <c r="H233" s="8"/>
      <c r="I233" s="8"/>
      <c r="J233" s="8"/>
      <c r="K233" s="8"/>
      <c r="M233" s="8"/>
      <c r="N233" s="8"/>
    </row>
    <row r="234" ht="15.75" customHeight="1">
      <c r="D234" s="8"/>
      <c r="E234" s="8"/>
      <c r="F234" s="8"/>
      <c r="G234" s="8"/>
      <c r="H234" s="8"/>
      <c r="I234" s="8"/>
      <c r="J234" s="8"/>
      <c r="K234" s="8"/>
      <c r="M234" s="8"/>
      <c r="N234" s="8"/>
    </row>
    <row r="235" ht="15.75" customHeight="1">
      <c r="D235" s="8"/>
      <c r="E235" s="8"/>
      <c r="F235" s="8"/>
      <c r="G235" s="8"/>
      <c r="H235" s="8"/>
      <c r="I235" s="8"/>
      <c r="J235" s="8"/>
      <c r="K235" s="8"/>
      <c r="M235" s="8"/>
      <c r="N235" s="8"/>
    </row>
    <row r="236" ht="15.75" customHeight="1">
      <c r="D236" s="8"/>
      <c r="E236" s="8"/>
      <c r="F236" s="8"/>
      <c r="G236" s="8"/>
      <c r="H236" s="8"/>
      <c r="I236" s="8"/>
      <c r="J236" s="8"/>
      <c r="K236" s="8"/>
      <c r="M236" s="8"/>
      <c r="N236" s="8"/>
    </row>
    <row r="237" ht="15.75" customHeight="1">
      <c r="D237" s="8"/>
      <c r="E237" s="8"/>
      <c r="F237" s="8"/>
      <c r="G237" s="8"/>
      <c r="H237" s="8"/>
      <c r="I237" s="8"/>
      <c r="J237" s="8"/>
      <c r="K237" s="8"/>
      <c r="M237" s="8"/>
      <c r="N237" s="8"/>
    </row>
    <row r="238" ht="15.75" customHeight="1">
      <c r="D238" s="8"/>
      <c r="E238" s="8"/>
      <c r="F238" s="8"/>
      <c r="G238" s="8"/>
      <c r="H238" s="8"/>
      <c r="I238" s="8"/>
      <c r="J238" s="8"/>
      <c r="K238" s="8"/>
      <c r="M238" s="8"/>
      <c r="N238" s="8"/>
    </row>
    <row r="239" ht="15.75" customHeight="1">
      <c r="D239" s="8"/>
      <c r="E239" s="8"/>
      <c r="F239" s="8"/>
      <c r="G239" s="8"/>
      <c r="H239" s="8"/>
      <c r="I239" s="8"/>
      <c r="J239" s="8"/>
      <c r="K239" s="8"/>
      <c r="M239" s="8"/>
      <c r="N239" s="8"/>
    </row>
    <row r="240" ht="15.75" customHeight="1">
      <c r="D240" s="8"/>
      <c r="E240" s="8"/>
      <c r="F240" s="8"/>
      <c r="G240" s="8"/>
      <c r="H240" s="8"/>
      <c r="I240" s="8"/>
      <c r="J240" s="8"/>
      <c r="K240" s="8"/>
      <c r="M240" s="8"/>
      <c r="N240" s="8"/>
    </row>
    <row r="241" ht="15.75" customHeight="1">
      <c r="D241" s="8"/>
      <c r="E241" s="8"/>
      <c r="F241" s="8"/>
      <c r="G241" s="8"/>
      <c r="H241" s="8"/>
      <c r="I241" s="8"/>
      <c r="J241" s="8"/>
      <c r="K241" s="8"/>
      <c r="M241" s="8"/>
      <c r="N241" s="8"/>
    </row>
    <row r="242" ht="15.75" customHeight="1">
      <c r="D242" s="8"/>
      <c r="E242" s="8"/>
      <c r="F242" s="8"/>
      <c r="G242" s="8"/>
      <c r="H242" s="8"/>
      <c r="I242" s="8"/>
      <c r="J242" s="8"/>
      <c r="K242" s="8"/>
      <c r="M242" s="8"/>
      <c r="N242" s="8"/>
    </row>
    <row r="243" ht="15.75" customHeight="1">
      <c r="D243" s="8"/>
      <c r="E243" s="8"/>
      <c r="F243" s="8"/>
      <c r="G243" s="8"/>
      <c r="H243" s="8"/>
      <c r="I243" s="8"/>
      <c r="J243" s="8"/>
      <c r="K243" s="8"/>
      <c r="M243" s="8"/>
      <c r="N243" s="8"/>
    </row>
    <row r="244" ht="15.75" customHeight="1">
      <c r="D244" s="8"/>
      <c r="E244" s="8"/>
      <c r="F244" s="8"/>
      <c r="G244" s="8"/>
      <c r="H244" s="8"/>
      <c r="I244" s="8"/>
      <c r="J244" s="8"/>
      <c r="K244" s="8"/>
      <c r="M244" s="8"/>
      <c r="N244" s="8"/>
    </row>
    <row r="245" ht="15.75" customHeight="1">
      <c r="D245" s="8"/>
      <c r="E245" s="8"/>
      <c r="F245" s="8"/>
      <c r="G245" s="8"/>
      <c r="H245" s="8"/>
      <c r="I245" s="8"/>
      <c r="J245" s="8"/>
      <c r="K245" s="8"/>
      <c r="M245" s="8"/>
      <c r="N245" s="8"/>
    </row>
    <row r="246" ht="15.75" customHeight="1">
      <c r="D246" s="8"/>
      <c r="E246" s="8"/>
      <c r="F246" s="8"/>
      <c r="G246" s="8"/>
      <c r="H246" s="8"/>
      <c r="I246" s="8"/>
      <c r="J246" s="8"/>
      <c r="K246" s="8"/>
      <c r="M246" s="8"/>
      <c r="N246" s="8"/>
    </row>
    <row r="247" ht="15.75" customHeight="1">
      <c r="D247" s="8"/>
      <c r="E247" s="8"/>
      <c r="F247" s="8"/>
      <c r="G247" s="8"/>
      <c r="H247" s="8"/>
      <c r="I247" s="8"/>
      <c r="J247" s="8"/>
      <c r="K247" s="8"/>
      <c r="M247" s="8"/>
      <c r="N247" s="8"/>
    </row>
    <row r="248" ht="15.75" customHeight="1">
      <c r="D248" s="8"/>
      <c r="E248" s="8"/>
      <c r="F248" s="8"/>
      <c r="G248" s="8"/>
      <c r="H248" s="8"/>
      <c r="I248" s="8"/>
      <c r="J248" s="8"/>
      <c r="K248" s="8"/>
      <c r="M248" s="8"/>
      <c r="N248" s="8"/>
    </row>
    <row r="249" ht="15.75" customHeight="1">
      <c r="D249" s="8"/>
      <c r="E249" s="8"/>
      <c r="F249" s="8"/>
      <c r="G249" s="8"/>
      <c r="H249" s="8"/>
      <c r="I249" s="8"/>
      <c r="J249" s="8"/>
      <c r="K249" s="8"/>
      <c r="M249" s="8"/>
      <c r="N249" s="8"/>
    </row>
    <row r="250" ht="15.75" customHeight="1">
      <c r="D250" s="8"/>
      <c r="E250" s="8"/>
      <c r="F250" s="8"/>
      <c r="G250" s="8"/>
      <c r="H250" s="8"/>
      <c r="I250" s="8"/>
      <c r="J250" s="8"/>
      <c r="K250" s="8"/>
      <c r="M250" s="8"/>
      <c r="N250" s="8"/>
    </row>
    <row r="251" ht="15.75" customHeight="1">
      <c r="D251" s="8"/>
      <c r="E251" s="8"/>
      <c r="F251" s="8"/>
      <c r="G251" s="8"/>
      <c r="H251" s="8"/>
      <c r="I251" s="8"/>
      <c r="J251" s="8"/>
      <c r="K251" s="8"/>
      <c r="M251" s="8"/>
      <c r="N251" s="8"/>
    </row>
    <row r="252" ht="15.75" customHeight="1">
      <c r="D252" s="8"/>
      <c r="E252" s="8"/>
      <c r="F252" s="8"/>
      <c r="G252" s="8"/>
      <c r="H252" s="8"/>
      <c r="I252" s="8"/>
      <c r="J252" s="8"/>
      <c r="K252" s="8"/>
      <c r="M252" s="8"/>
      <c r="N252" s="8"/>
    </row>
    <row r="253" ht="15.75" customHeight="1">
      <c r="D253" s="8"/>
      <c r="E253" s="8"/>
      <c r="F253" s="8"/>
      <c r="G253" s="8"/>
      <c r="H253" s="8"/>
      <c r="I253" s="8"/>
      <c r="J253" s="8"/>
      <c r="K253" s="8"/>
      <c r="M253" s="8"/>
      <c r="N253" s="8"/>
    </row>
    <row r="254" ht="15.75" customHeight="1">
      <c r="D254" s="8"/>
      <c r="E254" s="8"/>
      <c r="F254" s="8"/>
      <c r="G254" s="8"/>
      <c r="H254" s="8"/>
      <c r="I254" s="8"/>
      <c r="J254" s="8"/>
      <c r="K254" s="8"/>
      <c r="M254" s="8"/>
      <c r="N254" s="8"/>
    </row>
    <row r="255" ht="15.75" customHeight="1">
      <c r="D255" s="8"/>
      <c r="E255" s="8"/>
      <c r="F255" s="8"/>
      <c r="G255" s="8"/>
      <c r="H255" s="8"/>
      <c r="I255" s="8"/>
      <c r="J255" s="8"/>
      <c r="K255" s="8"/>
      <c r="M255" s="8"/>
      <c r="N255" s="8"/>
    </row>
    <row r="256" ht="15.75" customHeight="1">
      <c r="D256" s="8"/>
      <c r="E256" s="8"/>
      <c r="F256" s="8"/>
      <c r="G256" s="8"/>
      <c r="H256" s="8"/>
      <c r="I256" s="8"/>
      <c r="J256" s="8"/>
      <c r="K256" s="8"/>
      <c r="M256" s="8"/>
      <c r="N256" s="8"/>
    </row>
    <row r="257" ht="15.75" customHeight="1">
      <c r="D257" s="8"/>
      <c r="E257" s="8"/>
      <c r="F257" s="8"/>
      <c r="G257" s="8"/>
      <c r="H257" s="8"/>
      <c r="I257" s="8"/>
      <c r="J257" s="8"/>
      <c r="K257" s="8"/>
      <c r="M257" s="8"/>
      <c r="N257" s="8"/>
    </row>
    <row r="258" ht="15.75" customHeight="1">
      <c r="D258" s="8"/>
      <c r="E258" s="8"/>
      <c r="F258" s="8"/>
      <c r="G258" s="8"/>
      <c r="H258" s="8"/>
      <c r="I258" s="8"/>
      <c r="J258" s="8"/>
      <c r="K258" s="8"/>
      <c r="M258" s="8"/>
      <c r="N258" s="8"/>
    </row>
    <row r="259" ht="15.75" customHeight="1">
      <c r="D259" s="8"/>
      <c r="E259" s="8"/>
      <c r="F259" s="8"/>
      <c r="G259" s="8"/>
      <c r="H259" s="8"/>
      <c r="I259" s="8"/>
      <c r="J259" s="8"/>
      <c r="K259" s="8"/>
      <c r="M259" s="8"/>
      <c r="N259" s="8"/>
    </row>
    <row r="260" ht="15.75" customHeight="1">
      <c r="D260" s="8"/>
      <c r="E260" s="8"/>
      <c r="F260" s="8"/>
      <c r="G260" s="8"/>
      <c r="H260" s="8"/>
      <c r="I260" s="8"/>
      <c r="J260" s="8"/>
      <c r="K260" s="8"/>
      <c r="M260" s="8"/>
      <c r="N260" s="8"/>
    </row>
    <row r="261" ht="15.75" customHeight="1">
      <c r="D261" s="8"/>
      <c r="E261" s="8"/>
      <c r="F261" s="8"/>
      <c r="G261" s="8"/>
      <c r="H261" s="8"/>
      <c r="I261" s="8"/>
      <c r="J261" s="8"/>
      <c r="K261" s="8"/>
      <c r="M261" s="8"/>
      <c r="N261" s="8"/>
    </row>
    <row r="262" ht="15.75" customHeight="1">
      <c r="D262" s="8"/>
      <c r="E262" s="8"/>
      <c r="F262" s="8"/>
      <c r="G262" s="8"/>
      <c r="H262" s="8"/>
      <c r="I262" s="8"/>
      <c r="J262" s="8"/>
      <c r="K262" s="8"/>
      <c r="M262" s="8"/>
      <c r="N262" s="8"/>
    </row>
    <row r="263" ht="15.75" customHeight="1">
      <c r="D263" s="8"/>
      <c r="E263" s="8"/>
      <c r="F263" s="8"/>
      <c r="G263" s="8"/>
      <c r="H263" s="8"/>
      <c r="I263" s="8"/>
      <c r="J263" s="8"/>
      <c r="K263" s="8"/>
      <c r="M263" s="8"/>
      <c r="N263" s="8"/>
    </row>
    <row r="264" ht="15.75" customHeight="1">
      <c r="D264" s="8"/>
      <c r="E264" s="8"/>
      <c r="F264" s="8"/>
      <c r="G264" s="8"/>
      <c r="H264" s="8"/>
      <c r="I264" s="8"/>
      <c r="J264" s="8"/>
      <c r="K264" s="8"/>
      <c r="M264" s="8"/>
      <c r="N264" s="8"/>
    </row>
    <row r="265" ht="15.75" customHeight="1">
      <c r="D265" s="8"/>
      <c r="E265" s="8"/>
      <c r="F265" s="8"/>
      <c r="G265" s="8"/>
      <c r="H265" s="8"/>
      <c r="I265" s="8"/>
      <c r="J265" s="8"/>
      <c r="K265" s="8"/>
      <c r="M265" s="8"/>
      <c r="N265" s="8"/>
    </row>
    <row r="266" ht="15.75" customHeight="1">
      <c r="D266" s="8"/>
      <c r="E266" s="8"/>
      <c r="F266" s="8"/>
      <c r="G266" s="8"/>
      <c r="H266" s="8"/>
      <c r="I266" s="8"/>
      <c r="J266" s="8"/>
      <c r="K266" s="8"/>
      <c r="M266" s="8"/>
      <c r="N266" s="8"/>
    </row>
    <row r="267" ht="15.75" customHeight="1">
      <c r="D267" s="8"/>
      <c r="E267" s="8"/>
      <c r="F267" s="8"/>
      <c r="G267" s="8"/>
      <c r="H267" s="8"/>
      <c r="I267" s="8"/>
      <c r="J267" s="8"/>
      <c r="K267" s="8"/>
      <c r="M267" s="8"/>
      <c r="N267" s="8"/>
    </row>
    <row r="268" ht="15.75" customHeight="1">
      <c r="D268" s="8"/>
      <c r="E268" s="8"/>
      <c r="F268" s="8"/>
      <c r="G268" s="8"/>
      <c r="H268" s="8"/>
      <c r="I268" s="8"/>
      <c r="J268" s="8"/>
      <c r="K268" s="8"/>
      <c r="M268" s="8"/>
      <c r="N268" s="8"/>
    </row>
    <row r="269" ht="15.75" customHeight="1">
      <c r="D269" s="8"/>
      <c r="E269" s="8"/>
      <c r="F269" s="8"/>
      <c r="G269" s="8"/>
      <c r="H269" s="8"/>
      <c r="I269" s="8"/>
      <c r="J269" s="8"/>
      <c r="K269" s="8"/>
      <c r="M269" s="8"/>
      <c r="N269" s="8"/>
    </row>
    <row r="270" ht="15.75" customHeight="1">
      <c r="D270" s="8"/>
      <c r="E270" s="8"/>
      <c r="F270" s="8"/>
      <c r="G270" s="8"/>
      <c r="H270" s="8"/>
      <c r="I270" s="8"/>
      <c r="J270" s="8"/>
      <c r="K270" s="8"/>
      <c r="M270" s="8"/>
      <c r="N270" s="8"/>
    </row>
    <row r="271" ht="15.75" customHeight="1">
      <c r="D271" s="8"/>
      <c r="E271" s="8"/>
      <c r="F271" s="8"/>
      <c r="G271" s="8"/>
      <c r="H271" s="8"/>
      <c r="I271" s="8"/>
      <c r="J271" s="8"/>
      <c r="K271" s="8"/>
      <c r="M271" s="8"/>
      <c r="N271" s="8"/>
    </row>
    <row r="272" ht="15.75" customHeight="1">
      <c r="D272" s="8"/>
      <c r="E272" s="8"/>
      <c r="F272" s="8"/>
      <c r="G272" s="8"/>
      <c r="H272" s="8"/>
      <c r="I272" s="8"/>
      <c r="J272" s="8"/>
      <c r="K272" s="8"/>
      <c r="M272" s="8"/>
      <c r="N272" s="8"/>
    </row>
    <row r="273" ht="15.75" customHeight="1">
      <c r="D273" s="8"/>
      <c r="E273" s="8"/>
      <c r="F273" s="8"/>
      <c r="G273" s="8"/>
      <c r="H273" s="8"/>
      <c r="I273" s="8"/>
      <c r="J273" s="8"/>
      <c r="K273" s="8"/>
      <c r="M273" s="8"/>
      <c r="N273" s="8"/>
    </row>
    <row r="274" ht="15.75" customHeight="1">
      <c r="D274" s="8"/>
      <c r="E274" s="8"/>
      <c r="F274" s="8"/>
      <c r="G274" s="8"/>
      <c r="H274" s="8"/>
      <c r="I274" s="8"/>
      <c r="J274" s="8"/>
      <c r="K274" s="8"/>
      <c r="M274" s="8"/>
      <c r="N274" s="8"/>
    </row>
    <row r="275" ht="15.75" customHeight="1">
      <c r="D275" s="8"/>
      <c r="E275" s="8"/>
      <c r="F275" s="8"/>
      <c r="G275" s="8"/>
      <c r="H275" s="8"/>
      <c r="I275" s="8"/>
      <c r="J275" s="8"/>
      <c r="K275" s="8"/>
      <c r="M275" s="8"/>
      <c r="N275" s="8"/>
    </row>
    <row r="276" ht="15.75" customHeight="1">
      <c r="D276" s="8"/>
      <c r="E276" s="8"/>
      <c r="F276" s="8"/>
      <c r="G276" s="8"/>
      <c r="H276" s="8"/>
      <c r="I276" s="8"/>
      <c r="J276" s="8"/>
      <c r="K276" s="8"/>
      <c r="M276" s="8"/>
      <c r="N276" s="8"/>
    </row>
    <row r="277" ht="15.75" customHeight="1">
      <c r="D277" s="8"/>
      <c r="E277" s="8"/>
      <c r="F277" s="8"/>
      <c r="G277" s="8"/>
      <c r="H277" s="8"/>
      <c r="I277" s="8"/>
      <c r="J277" s="8"/>
      <c r="K277" s="8"/>
      <c r="M277" s="8"/>
      <c r="N277" s="8"/>
    </row>
    <row r="278" ht="15.75" customHeight="1">
      <c r="D278" s="8"/>
      <c r="E278" s="8"/>
      <c r="F278" s="8"/>
      <c r="G278" s="8"/>
      <c r="H278" s="8"/>
      <c r="I278" s="8"/>
      <c r="J278" s="8"/>
      <c r="K278" s="8"/>
      <c r="M278" s="8"/>
      <c r="N278" s="8"/>
    </row>
    <row r="279" ht="15.75" customHeight="1">
      <c r="D279" s="8"/>
      <c r="E279" s="8"/>
      <c r="F279" s="8"/>
      <c r="G279" s="8"/>
      <c r="H279" s="8"/>
      <c r="I279" s="8"/>
      <c r="J279" s="8"/>
      <c r="K279" s="8"/>
      <c r="M279" s="8"/>
      <c r="N279" s="8"/>
    </row>
    <row r="280" ht="15.75" customHeight="1">
      <c r="D280" s="8"/>
      <c r="E280" s="8"/>
      <c r="F280" s="8"/>
      <c r="G280" s="8"/>
      <c r="H280" s="8"/>
      <c r="I280" s="8"/>
      <c r="J280" s="8"/>
      <c r="K280" s="8"/>
      <c r="M280" s="8"/>
      <c r="N280" s="8"/>
    </row>
    <row r="281" ht="15.75" customHeight="1">
      <c r="D281" s="8"/>
      <c r="E281" s="8"/>
      <c r="F281" s="8"/>
      <c r="G281" s="8"/>
      <c r="H281" s="8"/>
      <c r="I281" s="8"/>
      <c r="J281" s="8"/>
      <c r="K281" s="8"/>
      <c r="M281" s="8"/>
      <c r="N281" s="8"/>
    </row>
    <row r="282" ht="15.75" customHeight="1">
      <c r="D282" s="8"/>
      <c r="E282" s="8"/>
      <c r="F282" s="8"/>
      <c r="G282" s="8"/>
      <c r="H282" s="8"/>
      <c r="I282" s="8"/>
      <c r="J282" s="8"/>
      <c r="K282" s="8"/>
      <c r="M282" s="8"/>
      <c r="N282" s="8"/>
    </row>
    <row r="283" ht="15.75" customHeight="1">
      <c r="D283" s="8"/>
      <c r="E283" s="8"/>
      <c r="F283" s="8"/>
      <c r="G283" s="8"/>
      <c r="H283" s="8"/>
      <c r="I283" s="8"/>
      <c r="J283" s="8"/>
      <c r="K283" s="8"/>
      <c r="M283" s="8"/>
      <c r="N283" s="8"/>
    </row>
    <row r="284" ht="15.75" customHeight="1">
      <c r="D284" s="8"/>
      <c r="E284" s="8"/>
      <c r="F284" s="8"/>
      <c r="G284" s="8"/>
      <c r="H284" s="8"/>
      <c r="I284" s="8"/>
      <c r="J284" s="8"/>
      <c r="K284" s="8"/>
      <c r="M284" s="8"/>
      <c r="N284" s="8"/>
    </row>
    <row r="285" ht="15.75" customHeight="1">
      <c r="D285" s="8"/>
      <c r="E285" s="8"/>
      <c r="F285" s="8"/>
      <c r="G285" s="8"/>
      <c r="H285" s="8"/>
      <c r="I285" s="8"/>
      <c r="J285" s="8"/>
      <c r="K285" s="8"/>
      <c r="M285" s="8"/>
      <c r="N285" s="8"/>
    </row>
    <row r="286" ht="15.75" customHeight="1">
      <c r="D286" s="8"/>
      <c r="E286" s="8"/>
      <c r="F286" s="8"/>
      <c r="G286" s="8"/>
      <c r="H286" s="8"/>
      <c r="I286" s="8"/>
      <c r="J286" s="8"/>
      <c r="K286" s="8"/>
      <c r="M286" s="8"/>
      <c r="N286" s="8"/>
    </row>
    <row r="287" ht="15.75" customHeight="1">
      <c r="D287" s="8"/>
      <c r="E287" s="8"/>
      <c r="F287" s="8"/>
      <c r="G287" s="8"/>
      <c r="H287" s="8"/>
      <c r="I287" s="8"/>
      <c r="J287" s="8"/>
      <c r="K287" s="8"/>
      <c r="M287" s="8"/>
      <c r="N287" s="8"/>
    </row>
    <row r="288" ht="15.75" customHeight="1">
      <c r="D288" s="8"/>
      <c r="E288" s="8"/>
      <c r="F288" s="8"/>
      <c r="G288" s="8"/>
      <c r="H288" s="8"/>
      <c r="I288" s="8"/>
      <c r="J288" s="8"/>
      <c r="K288" s="8"/>
      <c r="M288" s="8"/>
      <c r="N288" s="8"/>
    </row>
    <row r="289" ht="15.75" customHeight="1">
      <c r="D289" s="8"/>
      <c r="E289" s="8"/>
      <c r="F289" s="8"/>
      <c r="G289" s="8"/>
      <c r="H289" s="8"/>
      <c r="I289" s="8"/>
      <c r="J289" s="8"/>
      <c r="K289" s="8"/>
      <c r="M289" s="8"/>
      <c r="N289" s="8"/>
    </row>
    <row r="290" ht="15.75" customHeight="1">
      <c r="D290" s="8"/>
      <c r="E290" s="8"/>
      <c r="F290" s="8"/>
      <c r="G290" s="8"/>
      <c r="H290" s="8"/>
      <c r="I290" s="8"/>
      <c r="J290" s="8"/>
      <c r="K290" s="8"/>
      <c r="M290" s="8"/>
      <c r="N290" s="8"/>
    </row>
    <row r="291" ht="15.75" customHeight="1">
      <c r="D291" s="8"/>
      <c r="E291" s="8"/>
      <c r="F291" s="8"/>
      <c r="G291" s="8"/>
      <c r="H291" s="8"/>
      <c r="I291" s="8"/>
      <c r="J291" s="8"/>
      <c r="K291" s="8"/>
      <c r="M291" s="8"/>
      <c r="N291" s="8"/>
    </row>
    <row r="292" ht="15.75" customHeight="1">
      <c r="D292" s="8"/>
      <c r="E292" s="8"/>
      <c r="F292" s="8"/>
      <c r="G292" s="8"/>
      <c r="H292" s="8"/>
      <c r="I292" s="8"/>
      <c r="J292" s="8"/>
      <c r="K292" s="8"/>
      <c r="M292" s="8"/>
      <c r="N292" s="8"/>
    </row>
    <row r="293" ht="15.75" customHeight="1">
      <c r="D293" s="8"/>
      <c r="E293" s="8"/>
      <c r="F293" s="8"/>
      <c r="G293" s="8"/>
      <c r="H293" s="8"/>
      <c r="I293" s="8"/>
      <c r="J293" s="8"/>
      <c r="K293" s="8"/>
      <c r="M293" s="8"/>
      <c r="N293" s="8"/>
    </row>
    <row r="294" ht="15.75" customHeight="1">
      <c r="D294" s="8"/>
      <c r="E294" s="8"/>
      <c r="F294" s="8"/>
      <c r="G294" s="8"/>
      <c r="H294" s="8"/>
      <c r="I294" s="8"/>
      <c r="J294" s="8"/>
      <c r="K294" s="8"/>
      <c r="M294" s="8"/>
      <c r="N294" s="8"/>
    </row>
    <row r="295" ht="15.75" customHeight="1">
      <c r="D295" s="8"/>
      <c r="E295" s="8"/>
      <c r="F295" s="8"/>
      <c r="G295" s="8"/>
      <c r="H295" s="8"/>
      <c r="I295" s="8"/>
      <c r="J295" s="8"/>
      <c r="K295" s="8"/>
      <c r="M295" s="8"/>
      <c r="N295" s="8"/>
    </row>
    <row r="296" ht="15.75" customHeight="1">
      <c r="D296" s="8"/>
      <c r="E296" s="8"/>
      <c r="F296" s="8"/>
      <c r="G296" s="8"/>
      <c r="H296" s="8"/>
      <c r="I296" s="8"/>
      <c r="J296" s="8"/>
      <c r="K296" s="8"/>
      <c r="M296" s="8"/>
      <c r="N296" s="8"/>
    </row>
    <row r="297" ht="15.75" customHeight="1">
      <c r="D297" s="8"/>
      <c r="E297" s="8"/>
      <c r="F297" s="8"/>
      <c r="G297" s="8"/>
      <c r="H297" s="8"/>
      <c r="I297" s="8"/>
      <c r="J297" s="8"/>
      <c r="K297" s="8"/>
      <c r="M297" s="8"/>
      <c r="N297" s="8"/>
    </row>
    <row r="298" ht="15.75" customHeight="1">
      <c r="D298" s="8"/>
      <c r="E298" s="8"/>
      <c r="F298" s="8"/>
      <c r="G298" s="8"/>
      <c r="H298" s="8"/>
      <c r="I298" s="8"/>
      <c r="J298" s="8"/>
      <c r="K298" s="8"/>
      <c r="M298" s="8"/>
      <c r="N298" s="8"/>
    </row>
    <row r="299" ht="15.75" customHeight="1">
      <c r="D299" s="8"/>
      <c r="E299" s="8"/>
      <c r="F299" s="8"/>
      <c r="G299" s="8"/>
      <c r="H299" s="8"/>
      <c r="I299" s="8"/>
      <c r="J299" s="8"/>
      <c r="K299" s="8"/>
      <c r="M299" s="8"/>
      <c r="N299" s="8"/>
    </row>
    <row r="300" ht="15.75" customHeight="1">
      <c r="D300" s="8"/>
      <c r="E300" s="8"/>
      <c r="F300" s="8"/>
      <c r="G300" s="8"/>
      <c r="H300" s="8"/>
      <c r="I300" s="8"/>
      <c r="J300" s="8"/>
      <c r="K300" s="8"/>
      <c r="M300" s="8"/>
      <c r="N300" s="8"/>
    </row>
    <row r="301" ht="15.75" customHeight="1">
      <c r="D301" s="8"/>
      <c r="E301" s="8"/>
      <c r="F301" s="8"/>
      <c r="G301" s="8"/>
      <c r="H301" s="8"/>
      <c r="I301" s="8"/>
      <c r="J301" s="8"/>
      <c r="K301" s="8"/>
      <c r="M301" s="8"/>
      <c r="N301" s="8"/>
    </row>
    <row r="302" ht="15.75" customHeight="1">
      <c r="D302" s="8"/>
      <c r="E302" s="8"/>
      <c r="F302" s="8"/>
      <c r="G302" s="8"/>
      <c r="H302" s="8"/>
      <c r="I302" s="8"/>
      <c r="J302" s="8"/>
      <c r="K302" s="8"/>
      <c r="M302" s="8"/>
      <c r="N302" s="8"/>
    </row>
    <row r="303" ht="15.75" customHeight="1">
      <c r="D303" s="8"/>
      <c r="E303" s="8"/>
      <c r="F303" s="8"/>
      <c r="G303" s="8"/>
      <c r="H303" s="8"/>
      <c r="I303" s="8"/>
      <c r="J303" s="8"/>
      <c r="K303" s="8"/>
      <c r="M303" s="8"/>
      <c r="N303" s="8"/>
    </row>
    <row r="304" ht="15.75" customHeight="1">
      <c r="D304" s="8"/>
      <c r="E304" s="8"/>
      <c r="F304" s="8"/>
      <c r="G304" s="8"/>
      <c r="H304" s="8"/>
      <c r="I304" s="8"/>
      <c r="J304" s="8"/>
      <c r="K304" s="8"/>
      <c r="M304" s="8"/>
      <c r="N304" s="8"/>
    </row>
    <row r="305" ht="15.75" customHeight="1">
      <c r="D305" s="8"/>
      <c r="E305" s="8"/>
      <c r="F305" s="8"/>
      <c r="G305" s="8"/>
      <c r="H305" s="8"/>
      <c r="I305" s="8"/>
      <c r="J305" s="8"/>
      <c r="K305" s="8"/>
      <c r="M305" s="8"/>
      <c r="N305" s="8"/>
    </row>
    <row r="306" ht="15.75" customHeight="1">
      <c r="D306" s="8"/>
      <c r="E306" s="8"/>
      <c r="F306" s="8"/>
      <c r="G306" s="8"/>
      <c r="H306" s="8"/>
      <c r="I306" s="8"/>
      <c r="J306" s="8"/>
      <c r="K306" s="8"/>
      <c r="M306" s="8"/>
      <c r="N306" s="8"/>
    </row>
    <row r="307" ht="15.75" customHeight="1">
      <c r="D307" s="8"/>
      <c r="E307" s="8"/>
      <c r="F307" s="8"/>
      <c r="G307" s="8"/>
      <c r="H307" s="8"/>
      <c r="I307" s="8"/>
      <c r="J307" s="8"/>
      <c r="K307" s="8"/>
      <c r="M307" s="8"/>
      <c r="N307" s="8"/>
    </row>
    <row r="308" ht="15.75" customHeight="1">
      <c r="D308" s="8"/>
      <c r="E308" s="8"/>
      <c r="F308" s="8"/>
      <c r="G308" s="8"/>
      <c r="H308" s="8"/>
      <c r="I308" s="8"/>
      <c r="J308" s="8"/>
      <c r="K308" s="8"/>
      <c r="M308" s="8"/>
      <c r="N308" s="8"/>
    </row>
    <row r="309" ht="15.75" customHeight="1">
      <c r="D309" s="8"/>
      <c r="E309" s="8"/>
      <c r="F309" s="8"/>
      <c r="G309" s="8"/>
      <c r="H309" s="8"/>
      <c r="I309" s="8"/>
      <c r="J309" s="8"/>
      <c r="K309" s="8"/>
      <c r="M309" s="8"/>
      <c r="N309" s="8"/>
    </row>
    <row r="310" ht="15.75" customHeight="1">
      <c r="D310" s="8"/>
      <c r="E310" s="8"/>
      <c r="F310" s="8"/>
      <c r="G310" s="8"/>
      <c r="H310" s="8"/>
      <c r="I310" s="8"/>
      <c r="J310" s="8"/>
      <c r="K310" s="8"/>
      <c r="M310" s="8"/>
      <c r="N310" s="8"/>
    </row>
    <row r="311" ht="15.75" customHeight="1">
      <c r="D311" s="8"/>
      <c r="E311" s="8"/>
      <c r="F311" s="8"/>
      <c r="G311" s="8"/>
      <c r="H311" s="8"/>
      <c r="I311" s="8"/>
      <c r="J311" s="8"/>
      <c r="K311" s="8"/>
      <c r="M311" s="8"/>
      <c r="N311" s="8"/>
    </row>
    <row r="312" ht="15.75" customHeight="1">
      <c r="D312" s="8"/>
      <c r="E312" s="8"/>
      <c r="F312" s="8"/>
      <c r="G312" s="8"/>
      <c r="H312" s="8"/>
      <c r="I312" s="8"/>
      <c r="J312" s="8"/>
      <c r="K312" s="8"/>
      <c r="M312" s="8"/>
      <c r="N312" s="8"/>
    </row>
    <row r="313" ht="15.75" customHeight="1">
      <c r="D313" s="8"/>
      <c r="E313" s="8"/>
      <c r="F313" s="8"/>
      <c r="G313" s="8"/>
      <c r="H313" s="8"/>
      <c r="I313" s="8"/>
      <c r="J313" s="8"/>
      <c r="K313" s="8"/>
      <c r="M313" s="8"/>
      <c r="N313" s="8"/>
    </row>
    <row r="314" ht="15.75" customHeight="1">
      <c r="D314" s="8"/>
      <c r="E314" s="8"/>
      <c r="F314" s="8"/>
      <c r="G314" s="8"/>
      <c r="H314" s="8"/>
      <c r="I314" s="8"/>
      <c r="J314" s="8"/>
      <c r="K314" s="8"/>
      <c r="M314" s="8"/>
      <c r="N314" s="8"/>
    </row>
    <row r="315" ht="15.75" customHeight="1">
      <c r="D315" s="8"/>
      <c r="E315" s="8"/>
      <c r="F315" s="8"/>
      <c r="G315" s="8"/>
      <c r="H315" s="8"/>
      <c r="I315" s="8"/>
      <c r="J315" s="8"/>
      <c r="K315" s="8"/>
      <c r="M315" s="8"/>
      <c r="N315" s="8"/>
    </row>
    <row r="316" ht="15.75" customHeight="1">
      <c r="D316" s="8"/>
      <c r="E316" s="8"/>
      <c r="F316" s="8"/>
      <c r="G316" s="8"/>
      <c r="H316" s="8"/>
      <c r="I316" s="8"/>
      <c r="J316" s="8"/>
      <c r="K316" s="8"/>
      <c r="M316" s="8"/>
      <c r="N316" s="8"/>
    </row>
    <row r="317" ht="15.75" customHeight="1">
      <c r="D317" s="8"/>
      <c r="E317" s="8"/>
      <c r="F317" s="8"/>
      <c r="G317" s="8"/>
      <c r="H317" s="8"/>
      <c r="I317" s="8"/>
      <c r="J317" s="8"/>
      <c r="K317" s="8"/>
      <c r="M317" s="8"/>
      <c r="N317" s="8"/>
    </row>
    <row r="318" ht="15.75" customHeight="1">
      <c r="D318" s="8"/>
      <c r="E318" s="8"/>
      <c r="F318" s="8"/>
      <c r="G318" s="8"/>
      <c r="H318" s="8"/>
      <c r="I318" s="8"/>
      <c r="J318" s="8"/>
      <c r="K318" s="8"/>
      <c r="M318" s="8"/>
      <c r="N318" s="8"/>
    </row>
    <row r="319" ht="15.75" customHeight="1">
      <c r="D319" s="8"/>
      <c r="E319" s="8"/>
      <c r="F319" s="8"/>
      <c r="G319" s="8"/>
      <c r="H319" s="8"/>
      <c r="I319" s="8"/>
      <c r="J319" s="8"/>
      <c r="K319" s="8"/>
      <c r="M319" s="8"/>
      <c r="N319" s="8"/>
    </row>
    <row r="320" ht="15.75" customHeight="1">
      <c r="D320" s="8"/>
      <c r="E320" s="8"/>
      <c r="F320" s="8"/>
      <c r="G320" s="8"/>
      <c r="H320" s="8"/>
      <c r="I320" s="8"/>
      <c r="J320" s="8"/>
      <c r="K320" s="8"/>
      <c r="M320" s="8"/>
      <c r="N320" s="8"/>
    </row>
    <row r="321" ht="15.75" customHeight="1">
      <c r="D321" s="8"/>
      <c r="E321" s="8"/>
      <c r="F321" s="8"/>
      <c r="G321" s="8"/>
      <c r="H321" s="8"/>
      <c r="I321" s="8"/>
      <c r="J321" s="8"/>
      <c r="K321" s="8"/>
      <c r="M321" s="8"/>
      <c r="N321" s="8"/>
    </row>
    <row r="322" ht="15.75" customHeight="1">
      <c r="D322" s="8"/>
      <c r="E322" s="8"/>
      <c r="F322" s="8"/>
      <c r="G322" s="8"/>
      <c r="H322" s="8"/>
      <c r="I322" s="8"/>
      <c r="J322" s="8"/>
      <c r="K322" s="8"/>
      <c r="M322" s="8"/>
      <c r="N322" s="8"/>
    </row>
    <row r="323" ht="15.75" customHeight="1">
      <c r="D323" s="8"/>
      <c r="E323" s="8"/>
      <c r="F323" s="8"/>
      <c r="G323" s="8"/>
      <c r="H323" s="8"/>
      <c r="I323" s="8"/>
      <c r="J323" s="8"/>
      <c r="K323" s="8"/>
      <c r="M323" s="8"/>
      <c r="N323" s="8"/>
    </row>
    <row r="324" ht="15.75" customHeight="1">
      <c r="D324" s="8"/>
      <c r="E324" s="8"/>
      <c r="F324" s="8"/>
      <c r="G324" s="8"/>
      <c r="H324" s="8"/>
      <c r="I324" s="8"/>
      <c r="J324" s="8"/>
      <c r="K324" s="8"/>
      <c r="M324" s="8"/>
      <c r="N324" s="8"/>
    </row>
    <row r="325" ht="15.75" customHeight="1">
      <c r="D325" s="8"/>
      <c r="E325" s="8"/>
      <c r="F325" s="8"/>
      <c r="G325" s="8"/>
      <c r="H325" s="8"/>
      <c r="I325" s="8"/>
      <c r="J325" s="8"/>
      <c r="K325" s="8"/>
      <c r="M325" s="8"/>
      <c r="N325" s="8"/>
    </row>
    <row r="326" ht="15.75" customHeight="1">
      <c r="D326" s="8"/>
      <c r="E326" s="8"/>
      <c r="F326" s="8"/>
      <c r="G326" s="8"/>
      <c r="H326" s="8"/>
      <c r="I326" s="8"/>
      <c r="J326" s="8"/>
      <c r="K326" s="8"/>
      <c r="M326" s="8"/>
      <c r="N326" s="8"/>
    </row>
    <row r="327" ht="15.75" customHeight="1">
      <c r="D327" s="8"/>
      <c r="E327" s="8"/>
      <c r="F327" s="8"/>
      <c r="G327" s="8"/>
      <c r="H327" s="8"/>
      <c r="I327" s="8"/>
      <c r="J327" s="8"/>
      <c r="K327" s="8"/>
      <c r="M327" s="8"/>
      <c r="N327" s="8"/>
    </row>
    <row r="328" ht="15.75" customHeight="1">
      <c r="D328" s="8"/>
      <c r="E328" s="8"/>
      <c r="F328" s="8"/>
      <c r="G328" s="8"/>
      <c r="H328" s="8"/>
      <c r="I328" s="8"/>
      <c r="J328" s="8"/>
      <c r="K328" s="8"/>
      <c r="M328" s="8"/>
      <c r="N328" s="8"/>
    </row>
    <row r="329" ht="15.75" customHeight="1">
      <c r="D329" s="8"/>
      <c r="E329" s="8"/>
      <c r="F329" s="8"/>
      <c r="G329" s="8"/>
      <c r="H329" s="8"/>
      <c r="I329" s="8"/>
      <c r="J329" s="8"/>
      <c r="K329" s="8"/>
      <c r="M329" s="8"/>
      <c r="N329" s="8"/>
    </row>
    <row r="330" ht="15.75" customHeight="1">
      <c r="D330" s="8"/>
      <c r="E330" s="8"/>
      <c r="F330" s="8"/>
      <c r="G330" s="8"/>
      <c r="H330" s="8"/>
      <c r="I330" s="8"/>
      <c r="J330" s="8"/>
      <c r="K330" s="8"/>
      <c r="M330" s="8"/>
      <c r="N330" s="8"/>
    </row>
    <row r="331" ht="15.75" customHeight="1">
      <c r="D331" s="8"/>
      <c r="E331" s="8"/>
      <c r="F331" s="8"/>
      <c r="G331" s="8"/>
      <c r="H331" s="8"/>
      <c r="I331" s="8"/>
      <c r="J331" s="8"/>
      <c r="K331" s="8"/>
      <c r="M331" s="8"/>
      <c r="N331" s="8"/>
    </row>
    <row r="332" ht="15.75" customHeight="1">
      <c r="D332" s="8"/>
      <c r="E332" s="8"/>
      <c r="F332" s="8"/>
      <c r="G332" s="8"/>
      <c r="H332" s="8"/>
      <c r="I332" s="8"/>
      <c r="J332" s="8"/>
      <c r="K332" s="8"/>
      <c r="M332" s="8"/>
      <c r="N332" s="8"/>
    </row>
    <row r="333" ht="15.75" customHeight="1">
      <c r="D333" s="8"/>
      <c r="E333" s="8"/>
      <c r="F333" s="8"/>
      <c r="G333" s="8"/>
      <c r="H333" s="8"/>
      <c r="I333" s="8"/>
      <c r="J333" s="8"/>
      <c r="K333" s="8"/>
      <c r="M333" s="8"/>
      <c r="N333" s="8"/>
    </row>
    <row r="334" ht="15.75" customHeight="1">
      <c r="D334" s="8"/>
      <c r="E334" s="8"/>
      <c r="F334" s="8"/>
      <c r="G334" s="8"/>
      <c r="H334" s="8"/>
      <c r="I334" s="8"/>
      <c r="J334" s="8"/>
      <c r="K334" s="8"/>
      <c r="M334" s="8"/>
      <c r="N334" s="8"/>
    </row>
    <row r="335" ht="15.75" customHeight="1">
      <c r="D335" s="8"/>
      <c r="E335" s="8"/>
      <c r="F335" s="8"/>
      <c r="G335" s="8"/>
      <c r="H335" s="8"/>
      <c r="I335" s="8"/>
      <c r="J335" s="8"/>
      <c r="K335" s="8"/>
      <c r="M335" s="8"/>
      <c r="N335" s="8"/>
    </row>
    <row r="336" ht="15.75" customHeight="1">
      <c r="D336" s="8"/>
      <c r="E336" s="8"/>
      <c r="F336" s="8"/>
      <c r="G336" s="8"/>
      <c r="H336" s="8"/>
      <c r="I336" s="8"/>
      <c r="J336" s="8"/>
      <c r="K336" s="8"/>
      <c r="M336" s="8"/>
      <c r="N336" s="8"/>
    </row>
    <row r="337" ht="15.75" customHeight="1">
      <c r="D337" s="8"/>
      <c r="E337" s="8"/>
      <c r="F337" s="8"/>
      <c r="G337" s="8"/>
      <c r="H337" s="8"/>
      <c r="I337" s="8"/>
      <c r="J337" s="8"/>
      <c r="K337" s="8"/>
      <c r="M337" s="8"/>
      <c r="N337" s="8"/>
    </row>
    <row r="338" ht="15.75" customHeight="1">
      <c r="D338" s="8"/>
      <c r="E338" s="8"/>
      <c r="F338" s="8"/>
      <c r="G338" s="8"/>
      <c r="H338" s="8"/>
      <c r="I338" s="8"/>
      <c r="J338" s="8"/>
      <c r="K338" s="8"/>
      <c r="M338" s="8"/>
      <c r="N338" s="8"/>
    </row>
    <row r="339" ht="15.75" customHeight="1">
      <c r="D339" s="8"/>
      <c r="E339" s="8"/>
      <c r="F339" s="8"/>
      <c r="G339" s="8"/>
      <c r="H339" s="8"/>
      <c r="I339" s="8"/>
      <c r="J339" s="8"/>
      <c r="K339" s="8"/>
      <c r="M339" s="8"/>
      <c r="N339" s="8"/>
    </row>
    <row r="340" ht="15.75" customHeight="1">
      <c r="D340" s="8"/>
      <c r="E340" s="8"/>
      <c r="F340" s="8"/>
      <c r="G340" s="8"/>
      <c r="H340" s="8"/>
      <c r="I340" s="8"/>
      <c r="J340" s="8"/>
      <c r="K340" s="8"/>
      <c r="M340" s="8"/>
      <c r="N340" s="8"/>
    </row>
    <row r="341" ht="15.75" customHeight="1">
      <c r="D341" s="8"/>
      <c r="E341" s="8"/>
      <c r="F341" s="8"/>
      <c r="G341" s="8"/>
      <c r="H341" s="8"/>
      <c r="I341" s="8"/>
      <c r="J341" s="8"/>
      <c r="K341" s="8"/>
      <c r="M341" s="8"/>
      <c r="N341" s="8"/>
    </row>
    <row r="342" ht="15.75" customHeight="1">
      <c r="D342" s="8"/>
      <c r="E342" s="8"/>
      <c r="F342" s="8"/>
      <c r="G342" s="8"/>
      <c r="H342" s="8"/>
      <c r="I342" s="8"/>
      <c r="J342" s="8"/>
      <c r="K342" s="8"/>
      <c r="M342" s="8"/>
      <c r="N342" s="8"/>
    </row>
    <row r="343" ht="15.75" customHeight="1">
      <c r="D343" s="8"/>
      <c r="E343" s="8"/>
      <c r="F343" s="8"/>
      <c r="G343" s="8"/>
      <c r="H343" s="8"/>
      <c r="I343" s="8"/>
      <c r="J343" s="8"/>
      <c r="K343" s="8"/>
      <c r="M343" s="8"/>
      <c r="N343" s="8"/>
    </row>
    <row r="344" ht="15.75" customHeight="1">
      <c r="D344" s="8"/>
      <c r="E344" s="8"/>
      <c r="F344" s="8"/>
      <c r="G344" s="8"/>
      <c r="H344" s="8"/>
      <c r="I344" s="8"/>
      <c r="J344" s="8"/>
      <c r="K344" s="8"/>
      <c r="M344" s="8"/>
      <c r="N344" s="8"/>
    </row>
    <row r="345" ht="15.75" customHeight="1">
      <c r="D345" s="8"/>
      <c r="E345" s="8"/>
      <c r="F345" s="8"/>
      <c r="G345" s="8"/>
      <c r="H345" s="8"/>
      <c r="I345" s="8"/>
      <c r="J345" s="8"/>
      <c r="K345" s="8"/>
      <c r="M345" s="8"/>
      <c r="N345" s="8"/>
    </row>
    <row r="346" ht="15.75" customHeight="1">
      <c r="D346" s="8"/>
      <c r="E346" s="8"/>
      <c r="F346" s="8"/>
      <c r="G346" s="8"/>
      <c r="H346" s="8"/>
      <c r="I346" s="8"/>
      <c r="J346" s="8"/>
      <c r="K346" s="8"/>
      <c r="M346" s="8"/>
      <c r="N346" s="8"/>
    </row>
    <row r="347" ht="15.75" customHeight="1">
      <c r="D347" s="8"/>
      <c r="E347" s="8"/>
      <c r="F347" s="8"/>
      <c r="G347" s="8"/>
      <c r="H347" s="8"/>
      <c r="I347" s="8"/>
      <c r="J347" s="8"/>
      <c r="K347" s="8"/>
      <c r="M347" s="8"/>
      <c r="N347" s="8"/>
    </row>
    <row r="348" ht="15.75" customHeight="1">
      <c r="D348" s="8"/>
      <c r="E348" s="8"/>
      <c r="F348" s="8"/>
      <c r="G348" s="8"/>
      <c r="H348" s="8"/>
      <c r="I348" s="8"/>
      <c r="J348" s="8"/>
      <c r="K348" s="8"/>
      <c r="M348" s="8"/>
      <c r="N348" s="8"/>
    </row>
    <row r="349" ht="15.75" customHeight="1">
      <c r="D349" s="8"/>
      <c r="E349" s="8"/>
      <c r="F349" s="8"/>
      <c r="G349" s="8"/>
      <c r="H349" s="8"/>
      <c r="I349" s="8"/>
      <c r="J349" s="8"/>
      <c r="K349" s="8"/>
      <c r="M349" s="8"/>
      <c r="N349" s="8"/>
    </row>
    <row r="350" ht="15.75" customHeight="1">
      <c r="D350" s="8"/>
      <c r="E350" s="8"/>
      <c r="F350" s="8"/>
      <c r="G350" s="8"/>
      <c r="H350" s="8"/>
      <c r="I350" s="8"/>
      <c r="J350" s="8"/>
      <c r="K350" s="8"/>
      <c r="M350" s="8"/>
      <c r="N350" s="8"/>
    </row>
    <row r="351" ht="15.75" customHeight="1">
      <c r="D351" s="8"/>
      <c r="E351" s="8"/>
      <c r="F351" s="8"/>
      <c r="G351" s="8"/>
      <c r="H351" s="8"/>
      <c r="I351" s="8"/>
      <c r="J351" s="8"/>
      <c r="K351" s="8"/>
      <c r="M351" s="8"/>
      <c r="N351" s="8"/>
    </row>
    <row r="352" ht="15.75" customHeight="1">
      <c r="D352" s="8"/>
      <c r="E352" s="8"/>
      <c r="F352" s="8"/>
      <c r="G352" s="8"/>
      <c r="H352" s="8"/>
      <c r="I352" s="8"/>
      <c r="J352" s="8"/>
      <c r="K352" s="8"/>
      <c r="M352" s="8"/>
      <c r="N352" s="8"/>
    </row>
    <row r="353" ht="15.75" customHeight="1">
      <c r="D353" s="8"/>
      <c r="E353" s="8"/>
      <c r="F353" s="8"/>
      <c r="G353" s="8"/>
      <c r="H353" s="8"/>
      <c r="I353" s="8"/>
      <c r="J353" s="8"/>
      <c r="K353" s="8"/>
      <c r="M353" s="8"/>
      <c r="N353" s="8"/>
    </row>
    <row r="354" ht="15.75" customHeight="1">
      <c r="D354" s="8"/>
      <c r="E354" s="8"/>
      <c r="F354" s="8"/>
      <c r="G354" s="8"/>
      <c r="H354" s="8"/>
      <c r="I354" s="8"/>
      <c r="J354" s="8"/>
      <c r="K354" s="8"/>
      <c r="M354" s="8"/>
      <c r="N354" s="8"/>
    </row>
    <row r="355" ht="15.75" customHeight="1">
      <c r="D355" s="8"/>
      <c r="E355" s="8"/>
      <c r="F355" s="8"/>
      <c r="G355" s="8"/>
      <c r="H355" s="8"/>
      <c r="I355" s="8"/>
      <c r="J355" s="8"/>
      <c r="K355" s="8"/>
      <c r="M355" s="8"/>
      <c r="N355" s="8"/>
    </row>
    <row r="356" ht="15.75" customHeight="1">
      <c r="D356" s="8"/>
      <c r="E356" s="8"/>
      <c r="F356" s="8"/>
      <c r="G356" s="8"/>
      <c r="H356" s="8"/>
      <c r="I356" s="8"/>
      <c r="J356" s="8"/>
      <c r="K356" s="8"/>
      <c r="M356" s="8"/>
      <c r="N356" s="8"/>
    </row>
    <row r="357" ht="15.75" customHeight="1">
      <c r="D357" s="8"/>
      <c r="E357" s="8"/>
      <c r="F357" s="8"/>
      <c r="G357" s="8"/>
      <c r="H357" s="8"/>
      <c r="I357" s="8"/>
      <c r="J357" s="8"/>
      <c r="K357" s="8"/>
      <c r="M357" s="8"/>
      <c r="N357" s="8"/>
    </row>
    <row r="358" ht="15.75" customHeight="1">
      <c r="D358" s="8"/>
      <c r="E358" s="8"/>
      <c r="F358" s="8"/>
      <c r="G358" s="8"/>
      <c r="H358" s="8"/>
      <c r="I358" s="8"/>
      <c r="J358" s="8"/>
      <c r="K358" s="8"/>
      <c r="M358" s="8"/>
      <c r="N358" s="8"/>
    </row>
    <row r="359" ht="15.75" customHeight="1">
      <c r="D359" s="8"/>
      <c r="E359" s="8"/>
      <c r="F359" s="8"/>
      <c r="G359" s="8"/>
      <c r="H359" s="8"/>
      <c r="I359" s="8"/>
      <c r="J359" s="8"/>
      <c r="K359" s="8"/>
      <c r="M359" s="8"/>
      <c r="N359" s="8"/>
    </row>
    <row r="360" ht="15.75" customHeight="1">
      <c r="D360" s="8"/>
      <c r="E360" s="8"/>
      <c r="F360" s="8"/>
      <c r="G360" s="8"/>
      <c r="H360" s="8"/>
      <c r="I360" s="8"/>
      <c r="J360" s="8"/>
      <c r="K360" s="8"/>
      <c r="M360" s="8"/>
      <c r="N360" s="8"/>
    </row>
    <row r="361" ht="15.75" customHeight="1">
      <c r="D361" s="8"/>
      <c r="E361" s="8"/>
      <c r="F361" s="8"/>
      <c r="G361" s="8"/>
      <c r="H361" s="8"/>
      <c r="I361" s="8"/>
      <c r="J361" s="8"/>
      <c r="K361" s="8"/>
      <c r="M361" s="8"/>
      <c r="N361" s="8"/>
    </row>
    <row r="362" ht="15.75" customHeight="1">
      <c r="D362" s="8"/>
      <c r="E362" s="8"/>
      <c r="F362" s="8"/>
      <c r="G362" s="8"/>
      <c r="H362" s="8"/>
      <c r="I362" s="8"/>
      <c r="J362" s="8"/>
      <c r="K362" s="8"/>
      <c r="M362" s="8"/>
      <c r="N362" s="8"/>
    </row>
    <row r="363" ht="15.75" customHeight="1">
      <c r="D363" s="8"/>
      <c r="E363" s="8"/>
      <c r="F363" s="8"/>
      <c r="G363" s="8"/>
      <c r="H363" s="8"/>
      <c r="I363" s="8"/>
      <c r="J363" s="8"/>
      <c r="K363" s="8"/>
      <c r="M363" s="8"/>
      <c r="N363" s="8"/>
    </row>
    <row r="364" ht="15.75" customHeight="1">
      <c r="D364" s="8"/>
      <c r="E364" s="8"/>
      <c r="F364" s="8"/>
      <c r="G364" s="8"/>
      <c r="H364" s="8"/>
      <c r="I364" s="8"/>
      <c r="J364" s="8"/>
      <c r="K364" s="8"/>
      <c r="M364" s="8"/>
      <c r="N364" s="8"/>
    </row>
    <row r="365" ht="15.75" customHeight="1">
      <c r="D365" s="8"/>
      <c r="E365" s="8"/>
      <c r="F365" s="8"/>
      <c r="G365" s="8"/>
      <c r="H365" s="8"/>
      <c r="I365" s="8"/>
      <c r="J365" s="8"/>
      <c r="K365" s="8"/>
      <c r="M365" s="8"/>
      <c r="N365" s="8"/>
    </row>
    <row r="366" ht="15.75" customHeight="1">
      <c r="D366" s="8"/>
      <c r="E366" s="8"/>
      <c r="F366" s="8"/>
      <c r="G366" s="8"/>
      <c r="H366" s="8"/>
      <c r="I366" s="8"/>
      <c r="J366" s="8"/>
      <c r="K366" s="8"/>
      <c r="M366" s="8"/>
      <c r="N366" s="8"/>
    </row>
    <row r="367" ht="15.75" customHeight="1">
      <c r="D367" s="8"/>
      <c r="E367" s="8"/>
      <c r="F367" s="8"/>
      <c r="G367" s="8"/>
      <c r="H367" s="8"/>
      <c r="I367" s="8"/>
      <c r="J367" s="8"/>
      <c r="K367" s="8"/>
      <c r="M367" s="8"/>
      <c r="N367" s="8"/>
    </row>
    <row r="368" ht="15.75" customHeight="1">
      <c r="D368" s="8"/>
      <c r="E368" s="8"/>
      <c r="F368" s="8"/>
      <c r="G368" s="8"/>
      <c r="H368" s="8"/>
      <c r="I368" s="8"/>
      <c r="J368" s="8"/>
      <c r="K368" s="8"/>
      <c r="M368" s="8"/>
      <c r="N368" s="8"/>
    </row>
    <row r="369" ht="15.75" customHeight="1">
      <c r="D369" s="8"/>
      <c r="E369" s="8"/>
      <c r="F369" s="8"/>
      <c r="G369" s="8"/>
      <c r="H369" s="8"/>
      <c r="I369" s="8"/>
      <c r="J369" s="8"/>
      <c r="K369" s="8"/>
      <c r="M369" s="8"/>
      <c r="N369" s="8"/>
    </row>
    <row r="370" ht="15.75" customHeight="1">
      <c r="D370" s="8"/>
      <c r="E370" s="8"/>
      <c r="F370" s="8"/>
      <c r="G370" s="8"/>
      <c r="H370" s="8"/>
      <c r="I370" s="8"/>
      <c r="J370" s="8"/>
      <c r="K370" s="8"/>
      <c r="M370" s="8"/>
      <c r="N370" s="8"/>
    </row>
    <row r="371" ht="15.75" customHeight="1">
      <c r="D371" s="8"/>
      <c r="E371" s="8"/>
      <c r="F371" s="8"/>
      <c r="G371" s="8"/>
      <c r="H371" s="8"/>
      <c r="I371" s="8"/>
      <c r="J371" s="8"/>
      <c r="K371" s="8"/>
      <c r="M371" s="8"/>
      <c r="N371" s="8"/>
    </row>
    <row r="372" ht="15.75" customHeight="1">
      <c r="D372" s="8"/>
      <c r="E372" s="8"/>
      <c r="F372" s="8"/>
      <c r="G372" s="8"/>
      <c r="H372" s="8"/>
      <c r="I372" s="8"/>
      <c r="J372" s="8"/>
      <c r="K372" s="8"/>
      <c r="M372" s="8"/>
      <c r="N372" s="8"/>
    </row>
    <row r="373" ht="15.75" customHeight="1">
      <c r="D373" s="8"/>
      <c r="E373" s="8"/>
      <c r="F373" s="8"/>
      <c r="G373" s="8"/>
      <c r="H373" s="8"/>
      <c r="I373" s="8"/>
      <c r="J373" s="8"/>
      <c r="K373" s="8"/>
      <c r="M373" s="8"/>
      <c r="N373" s="8"/>
    </row>
    <row r="374" ht="15.75" customHeight="1">
      <c r="D374" s="8"/>
      <c r="E374" s="8"/>
      <c r="F374" s="8"/>
      <c r="G374" s="8"/>
      <c r="H374" s="8"/>
      <c r="I374" s="8"/>
      <c r="J374" s="8"/>
      <c r="K374" s="8"/>
      <c r="M374" s="8"/>
      <c r="N374" s="8"/>
    </row>
    <row r="375" ht="15.75" customHeight="1">
      <c r="D375" s="8"/>
      <c r="E375" s="8"/>
      <c r="F375" s="8"/>
      <c r="G375" s="8"/>
      <c r="H375" s="8"/>
      <c r="I375" s="8"/>
      <c r="J375" s="8"/>
      <c r="K375" s="8"/>
      <c r="M375" s="8"/>
      <c r="N375" s="8"/>
    </row>
    <row r="376" ht="15.75" customHeight="1">
      <c r="D376" s="8"/>
      <c r="E376" s="8"/>
      <c r="F376" s="8"/>
      <c r="G376" s="8"/>
      <c r="H376" s="8"/>
      <c r="I376" s="8"/>
      <c r="J376" s="8"/>
      <c r="K376" s="8"/>
      <c r="M376" s="8"/>
      <c r="N376" s="8"/>
    </row>
    <row r="377" ht="15.75" customHeight="1">
      <c r="D377" s="8"/>
      <c r="E377" s="8"/>
      <c r="F377" s="8"/>
      <c r="G377" s="8"/>
      <c r="H377" s="8"/>
      <c r="I377" s="8"/>
      <c r="J377" s="8"/>
      <c r="K377" s="8"/>
      <c r="M377" s="8"/>
      <c r="N377" s="8"/>
    </row>
    <row r="378" ht="15.75" customHeight="1">
      <c r="D378" s="8"/>
      <c r="E378" s="8"/>
      <c r="F378" s="8"/>
      <c r="G378" s="8"/>
      <c r="H378" s="8"/>
      <c r="I378" s="8"/>
      <c r="J378" s="8"/>
      <c r="K378" s="8"/>
      <c r="M378" s="8"/>
      <c r="N378" s="8"/>
    </row>
    <row r="379" ht="15.75" customHeight="1">
      <c r="D379" s="8"/>
      <c r="E379" s="8"/>
      <c r="F379" s="8"/>
      <c r="G379" s="8"/>
      <c r="H379" s="8"/>
      <c r="I379" s="8"/>
      <c r="J379" s="8"/>
      <c r="K379" s="8"/>
      <c r="M379" s="8"/>
      <c r="N379" s="8"/>
    </row>
    <row r="380" ht="15.75" customHeight="1">
      <c r="D380" s="8"/>
      <c r="E380" s="8"/>
      <c r="F380" s="8"/>
      <c r="G380" s="8"/>
      <c r="H380" s="8"/>
      <c r="I380" s="8"/>
      <c r="J380" s="8"/>
      <c r="K380" s="8"/>
      <c r="M380" s="8"/>
      <c r="N380" s="8"/>
    </row>
    <row r="381" ht="15.75" customHeight="1">
      <c r="D381" s="8"/>
      <c r="E381" s="8"/>
      <c r="F381" s="8"/>
      <c r="G381" s="8"/>
      <c r="H381" s="8"/>
      <c r="I381" s="8"/>
      <c r="J381" s="8"/>
      <c r="K381" s="8"/>
      <c r="M381" s="8"/>
      <c r="N381" s="8"/>
    </row>
    <row r="382" ht="15.75" customHeight="1">
      <c r="D382" s="8"/>
      <c r="E382" s="8"/>
      <c r="F382" s="8"/>
      <c r="G382" s="8"/>
      <c r="H382" s="8"/>
      <c r="I382" s="8"/>
      <c r="J382" s="8"/>
      <c r="K382" s="8"/>
      <c r="M382" s="8"/>
      <c r="N382" s="8"/>
    </row>
    <row r="383" ht="15.75" customHeight="1">
      <c r="D383" s="8"/>
      <c r="E383" s="8"/>
      <c r="F383" s="8"/>
      <c r="G383" s="8"/>
      <c r="H383" s="8"/>
      <c r="I383" s="8"/>
      <c r="J383" s="8"/>
      <c r="K383" s="8"/>
      <c r="M383" s="8"/>
      <c r="N383" s="8"/>
    </row>
    <row r="384" ht="15.75" customHeight="1">
      <c r="D384" s="8"/>
      <c r="E384" s="8"/>
      <c r="F384" s="8"/>
      <c r="G384" s="8"/>
      <c r="H384" s="8"/>
      <c r="I384" s="8"/>
      <c r="J384" s="8"/>
      <c r="K384" s="8"/>
      <c r="M384" s="8"/>
      <c r="N384" s="8"/>
    </row>
    <row r="385" ht="15.75" customHeight="1">
      <c r="D385" s="8"/>
      <c r="E385" s="8"/>
      <c r="F385" s="8"/>
      <c r="G385" s="8"/>
      <c r="H385" s="8"/>
      <c r="I385" s="8"/>
      <c r="J385" s="8"/>
      <c r="K385" s="8"/>
      <c r="M385" s="8"/>
      <c r="N385" s="8"/>
    </row>
    <row r="386" ht="15.75" customHeight="1">
      <c r="D386" s="8"/>
      <c r="E386" s="8"/>
      <c r="F386" s="8"/>
      <c r="G386" s="8"/>
      <c r="H386" s="8"/>
      <c r="I386" s="8"/>
      <c r="J386" s="8"/>
      <c r="K386" s="8"/>
      <c r="M386" s="8"/>
      <c r="N386" s="8"/>
    </row>
    <row r="387" ht="15.75" customHeight="1">
      <c r="D387" s="8"/>
      <c r="E387" s="8"/>
      <c r="F387" s="8"/>
      <c r="G387" s="8"/>
      <c r="H387" s="8"/>
      <c r="I387" s="8"/>
      <c r="J387" s="8"/>
      <c r="K387" s="8"/>
      <c r="M387" s="8"/>
      <c r="N387" s="8"/>
    </row>
    <row r="388" ht="15.75" customHeight="1">
      <c r="D388" s="8"/>
      <c r="E388" s="8"/>
      <c r="F388" s="8"/>
      <c r="G388" s="8"/>
      <c r="H388" s="8"/>
      <c r="I388" s="8"/>
      <c r="J388" s="8"/>
      <c r="K388" s="8"/>
      <c r="M388" s="8"/>
      <c r="N388" s="8"/>
    </row>
    <row r="389" ht="15.75" customHeight="1">
      <c r="D389" s="8"/>
      <c r="E389" s="8"/>
      <c r="F389" s="8"/>
      <c r="G389" s="8"/>
      <c r="H389" s="8"/>
      <c r="I389" s="8"/>
      <c r="J389" s="8"/>
      <c r="K389" s="8"/>
      <c r="M389" s="8"/>
      <c r="N389" s="8"/>
    </row>
    <row r="390" ht="15.75" customHeight="1">
      <c r="D390" s="8"/>
      <c r="E390" s="8"/>
      <c r="F390" s="8"/>
      <c r="G390" s="8"/>
      <c r="H390" s="8"/>
      <c r="I390" s="8"/>
      <c r="J390" s="8"/>
      <c r="K390" s="8"/>
      <c r="M390" s="8"/>
      <c r="N390" s="8"/>
    </row>
    <row r="391" ht="15.75" customHeight="1">
      <c r="D391" s="8"/>
      <c r="E391" s="8"/>
      <c r="F391" s="8"/>
      <c r="G391" s="8"/>
      <c r="H391" s="8"/>
      <c r="I391" s="8"/>
      <c r="J391" s="8"/>
      <c r="K391" s="8"/>
      <c r="M391" s="8"/>
      <c r="N391" s="8"/>
    </row>
    <row r="392" ht="15.75" customHeight="1">
      <c r="D392" s="8"/>
      <c r="E392" s="8"/>
      <c r="F392" s="8"/>
      <c r="G392" s="8"/>
      <c r="H392" s="8"/>
      <c r="I392" s="8"/>
      <c r="J392" s="8"/>
      <c r="K392" s="8"/>
      <c r="M392" s="8"/>
      <c r="N392" s="8"/>
    </row>
    <row r="393" ht="15.75" customHeight="1">
      <c r="D393" s="8"/>
      <c r="E393" s="8"/>
      <c r="F393" s="8"/>
      <c r="G393" s="8"/>
      <c r="H393" s="8"/>
      <c r="I393" s="8"/>
      <c r="J393" s="8"/>
      <c r="K393" s="8"/>
      <c r="M393" s="8"/>
      <c r="N393" s="8"/>
    </row>
    <row r="394" ht="15.75" customHeight="1">
      <c r="D394" s="8"/>
      <c r="E394" s="8"/>
      <c r="F394" s="8"/>
      <c r="G394" s="8"/>
      <c r="H394" s="8"/>
      <c r="I394" s="8"/>
      <c r="J394" s="8"/>
      <c r="K394" s="8"/>
      <c r="M394" s="8"/>
      <c r="N394" s="8"/>
    </row>
    <row r="395" ht="15.75" customHeight="1">
      <c r="D395" s="8"/>
      <c r="E395" s="8"/>
      <c r="F395" s="8"/>
      <c r="G395" s="8"/>
      <c r="H395" s="8"/>
      <c r="I395" s="8"/>
      <c r="J395" s="8"/>
      <c r="K395" s="8"/>
      <c r="M395" s="8"/>
      <c r="N395" s="8"/>
    </row>
    <row r="396" ht="15.75" customHeight="1">
      <c r="D396" s="8"/>
      <c r="E396" s="8"/>
      <c r="F396" s="8"/>
      <c r="G396" s="8"/>
      <c r="H396" s="8"/>
      <c r="I396" s="8"/>
      <c r="J396" s="8"/>
      <c r="K396" s="8"/>
      <c r="M396" s="8"/>
      <c r="N396" s="8"/>
    </row>
    <row r="397" ht="15.75" customHeight="1">
      <c r="D397" s="8"/>
      <c r="E397" s="8"/>
      <c r="F397" s="8"/>
      <c r="G397" s="8"/>
      <c r="H397" s="8"/>
      <c r="I397" s="8"/>
      <c r="J397" s="8"/>
      <c r="K397" s="8"/>
      <c r="M397" s="8"/>
      <c r="N397" s="8"/>
    </row>
    <row r="398" ht="15.75" customHeight="1">
      <c r="D398" s="8"/>
      <c r="E398" s="8"/>
      <c r="F398" s="8"/>
      <c r="G398" s="8"/>
      <c r="H398" s="8"/>
      <c r="I398" s="8"/>
      <c r="J398" s="8"/>
      <c r="K398" s="8"/>
      <c r="M398" s="8"/>
      <c r="N398" s="8"/>
    </row>
    <row r="399" ht="15.75" customHeight="1">
      <c r="D399" s="8"/>
      <c r="E399" s="8"/>
      <c r="F399" s="8"/>
      <c r="G399" s="8"/>
      <c r="H399" s="8"/>
      <c r="I399" s="8"/>
      <c r="J399" s="8"/>
      <c r="K399" s="8"/>
      <c r="M399" s="8"/>
      <c r="N399" s="8"/>
    </row>
    <row r="400" ht="15.75" customHeight="1">
      <c r="D400" s="8"/>
      <c r="E400" s="8"/>
      <c r="F400" s="8"/>
      <c r="G400" s="8"/>
      <c r="H400" s="8"/>
      <c r="I400" s="8"/>
      <c r="J400" s="8"/>
      <c r="K400" s="8"/>
      <c r="M400" s="8"/>
      <c r="N400" s="8"/>
    </row>
    <row r="401" ht="15.75" customHeight="1">
      <c r="D401" s="8"/>
      <c r="E401" s="8"/>
      <c r="F401" s="8"/>
      <c r="G401" s="8"/>
      <c r="H401" s="8"/>
      <c r="I401" s="8"/>
      <c r="J401" s="8"/>
      <c r="K401" s="8"/>
      <c r="M401" s="8"/>
      <c r="N401" s="8"/>
    </row>
    <row r="402" ht="15.75" customHeight="1">
      <c r="D402" s="8"/>
      <c r="E402" s="8"/>
      <c r="F402" s="8"/>
      <c r="G402" s="8"/>
      <c r="H402" s="8"/>
      <c r="I402" s="8"/>
      <c r="J402" s="8"/>
      <c r="K402" s="8"/>
      <c r="M402" s="8"/>
      <c r="N402" s="8"/>
    </row>
    <row r="403" ht="15.75" customHeight="1">
      <c r="D403" s="8"/>
      <c r="E403" s="8"/>
      <c r="F403" s="8"/>
      <c r="G403" s="8"/>
      <c r="H403" s="8"/>
      <c r="I403" s="8"/>
      <c r="J403" s="8"/>
      <c r="K403" s="8"/>
      <c r="M403" s="8"/>
      <c r="N403" s="8"/>
    </row>
    <row r="404" ht="15.75" customHeight="1">
      <c r="D404" s="8"/>
      <c r="E404" s="8"/>
      <c r="F404" s="8"/>
      <c r="G404" s="8"/>
      <c r="H404" s="8"/>
      <c r="I404" s="8"/>
      <c r="J404" s="8"/>
      <c r="K404" s="8"/>
      <c r="M404" s="8"/>
      <c r="N404" s="8"/>
    </row>
    <row r="405" ht="15.75" customHeight="1">
      <c r="D405" s="8"/>
      <c r="E405" s="8"/>
      <c r="F405" s="8"/>
      <c r="G405" s="8"/>
      <c r="H405" s="8"/>
      <c r="I405" s="8"/>
      <c r="J405" s="8"/>
      <c r="K405" s="8"/>
      <c r="M405" s="8"/>
      <c r="N405" s="8"/>
    </row>
    <row r="406" ht="15.75" customHeight="1">
      <c r="D406" s="8"/>
      <c r="E406" s="8"/>
      <c r="F406" s="8"/>
      <c r="G406" s="8"/>
      <c r="H406" s="8"/>
      <c r="I406" s="8"/>
      <c r="J406" s="8"/>
      <c r="K406" s="8"/>
      <c r="M406" s="8"/>
      <c r="N406" s="8"/>
    </row>
    <row r="407" ht="15.75" customHeight="1">
      <c r="D407" s="8"/>
      <c r="E407" s="8"/>
      <c r="F407" s="8"/>
      <c r="G407" s="8"/>
      <c r="H407" s="8"/>
      <c r="I407" s="8"/>
      <c r="J407" s="8"/>
      <c r="K407" s="8"/>
      <c r="M407" s="8"/>
      <c r="N407" s="8"/>
    </row>
    <row r="408" ht="15.75" customHeight="1">
      <c r="D408" s="8"/>
      <c r="E408" s="8"/>
      <c r="F408" s="8"/>
      <c r="G408" s="8"/>
      <c r="H408" s="8"/>
      <c r="I408" s="8"/>
      <c r="J408" s="8"/>
      <c r="K408" s="8"/>
      <c r="M408" s="8"/>
      <c r="N408" s="8"/>
    </row>
    <row r="409" ht="15.75" customHeight="1">
      <c r="D409" s="8"/>
      <c r="E409" s="8"/>
      <c r="F409" s="8"/>
      <c r="G409" s="8"/>
      <c r="H409" s="8"/>
      <c r="I409" s="8"/>
      <c r="J409" s="8"/>
      <c r="K409" s="8"/>
      <c r="M409" s="8"/>
      <c r="N409" s="8"/>
    </row>
    <row r="410" ht="15.75" customHeight="1">
      <c r="D410" s="8"/>
      <c r="E410" s="8"/>
      <c r="F410" s="8"/>
      <c r="G410" s="8"/>
      <c r="H410" s="8"/>
      <c r="I410" s="8"/>
      <c r="J410" s="8"/>
      <c r="K410" s="8"/>
      <c r="M410" s="8"/>
      <c r="N410" s="8"/>
    </row>
    <row r="411" ht="15.75" customHeight="1">
      <c r="D411" s="8"/>
      <c r="E411" s="8"/>
      <c r="F411" s="8"/>
      <c r="G411" s="8"/>
      <c r="H411" s="8"/>
      <c r="I411" s="8"/>
      <c r="J411" s="8"/>
      <c r="K411" s="8"/>
      <c r="M411" s="8"/>
      <c r="N411" s="8"/>
    </row>
    <row r="412" ht="15.75" customHeight="1">
      <c r="D412" s="8"/>
      <c r="E412" s="8"/>
      <c r="F412" s="8"/>
      <c r="G412" s="8"/>
      <c r="H412" s="8"/>
      <c r="I412" s="8"/>
      <c r="J412" s="8"/>
      <c r="K412" s="8"/>
      <c r="M412" s="8"/>
      <c r="N412" s="8"/>
    </row>
    <row r="413" ht="15.75" customHeight="1">
      <c r="D413" s="8"/>
      <c r="E413" s="8"/>
      <c r="F413" s="8"/>
      <c r="G413" s="8"/>
      <c r="H413" s="8"/>
      <c r="I413" s="8"/>
      <c r="J413" s="8"/>
      <c r="K413" s="8"/>
      <c r="M413" s="8"/>
      <c r="N413" s="8"/>
    </row>
    <row r="414" ht="15.75" customHeight="1">
      <c r="D414" s="8"/>
      <c r="E414" s="8"/>
      <c r="F414" s="8"/>
      <c r="G414" s="8"/>
      <c r="H414" s="8"/>
      <c r="I414" s="8"/>
      <c r="J414" s="8"/>
      <c r="K414" s="8"/>
      <c r="M414" s="8"/>
      <c r="N414" s="8"/>
    </row>
    <row r="415" ht="15.75" customHeight="1">
      <c r="D415" s="8"/>
      <c r="E415" s="8"/>
      <c r="F415" s="8"/>
      <c r="G415" s="8"/>
      <c r="H415" s="8"/>
      <c r="I415" s="8"/>
      <c r="J415" s="8"/>
      <c r="K415" s="8"/>
      <c r="M415" s="8"/>
      <c r="N415" s="8"/>
    </row>
    <row r="416" ht="15.75" customHeight="1">
      <c r="D416" s="8"/>
      <c r="E416" s="8"/>
      <c r="F416" s="8"/>
      <c r="G416" s="8"/>
      <c r="H416" s="8"/>
      <c r="I416" s="8"/>
      <c r="J416" s="8"/>
      <c r="K416" s="8"/>
      <c r="M416" s="8"/>
      <c r="N416" s="8"/>
    </row>
    <row r="417" ht="15.75" customHeight="1">
      <c r="D417" s="8"/>
      <c r="E417" s="8"/>
      <c r="F417" s="8"/>
      <c r="G417" s="8"/>
      <c r="H417" s="8"/>
      <c r="I417" s="8"/>
      <c r="J417" s="8"/>
      <c r="K417" s="8"/>
      <c r="M417" s="8"/>
      <c r="N417" s="8"/>
    </row>
    <row r="418" ht="15.75" customHeight="1">
      <c r="D418" s="8"/>
      <c r="E418" s="8"/>
      <c r="F418" s="8"/>
      <c r="G418" s="8"/>
      <c r="H418" s="8"/>
      <c r="I418" s="8"/>
      <c r="J418" s="8"/>
      <c r="K418" s="8"/>
      <c r="M418" s="8"/>
      <c r="N418" s="8"/>
    </row>
    <row r="419" ht="15.75" customHeight="1">
      <c r="D419" s="8"/>
      <c r="E419" s="8"/>
      <c r="F419" s="8"/>
      <c r="G419" s="8"/>
      <c r="H419" s="8"/>
      <c r="I419" s="8"/>
      <c r="J419" s="8"/>
      <c r="K419" s="8"/>
      <c r="M419" s="8"/>
      <c r="N419" s="8"/>
    </row>
    <row r="420" ht="15.75" customHeight="1">
      <c r="D420" s="8"/>
      <c r="E420" s="8"/>
      <c r="F420" s="8"/>
      <c r="G420" s="8"/>
      <c r="H420" s="8"/>
      <c r="I420" s="8"/>
      <c r="J420" s="8"/>
      <c r="K420" s="8"/>
      <c r="M420" s="8"/>
      <c r="N420" s="8"/>
    </row>
    <row r="421" ht="15.75" customHeight="1">
      <c r="D421" s="8"/>
      <c r="E421" s="8"/>
      <c r="F421" s="8"/>
      <c r="G421" s="8"/>
      <c r="H421" s="8"/>
      <c r="I421" s="8"/>
      <c r="J421" s="8"/>
      <c r="K421" s="8"/>
      <c r="M421" s="8"/>
      <c r="N421" s="8"/>
    </row>
    <row r="422" ht="15.75" customHeight="1">
      <c r="D422" s="8"/>
      <c r="E422" s="8"/>
      <c r="F422" s="8"/>
      <c r="G422" s="8"/>
      <c r="H422" s="8"/>
      <c r="I422" s="8"/>
      <c r="J422" s="8"/>
      <c r="K422" s="8"/>
      <c r="M422" s="8"/>
      <c r="N422" s="8"/>
    </row>
    <row r="423" ht="15.75" customHeight="1">
      <c r="D423" s="8"/>
      <c r="E423" s="8"/>
      <c r="F423" s="8"/>
      <c r="G423" s="8"/>
      <c r="H423" s="8"/>
      <c r="I423" s="8"/>
      <c r="J423" s="8"/>
      <c r="K423" s="8"/>
      <c r="M423" s="8"/>
      <c r="N423" s="8"/>
    </row>
    <row r="424" ht="15.75" customHeight="1">
      <c r="D424" s="8"/>
      <c r="E424" s="8"/>
      <c r="F424" s="8"/>
      <c r="G424" s="8"/>
      <c r="H424" s="8"/>
      <c r="I424" s="8"/>
      <c r="J424" s="8"/>
      <c r="K424" s="8"/>
      <c r="M424" s="8"/>
      <c r="N424" s="8"/>
    </row>
    <row r="425" ht="15.75" customHeight="1">
      <c r="D425" s="8"/>
      <c r="E425" s="8"/>
      <c r="F425" s="8"/>
      <c r="G425" s="8"/>
      <c r="H425" s="8"/>
      <c r="I425" s="8"/>
      <c r="J425" s="8"/>
      <c r="K425" s="8"/>
      <c r="M425" s="8"/>
      <c r="N425" s="8"/>
    </row>
    <row r="426" ht="15.75" customHeight="1">
      <c r="D426" s="8"/>
      <c r="E426" s="8"/>
      <c r="F426" s="8"/>
      <c r="G426" s="8"/>
      <c r="H426" s="8"/>
      <c r="I426" s="8"/>
      <c r="J426" s="8"/>
      <c r="K426" s="8"/>
      <c r="M426" s="8"/>
      <c r="N426" s="8"/>
    </row>
    <row r="427" ht="15.75" customHeight="1">
      <c r="D427" s="8"/>
      <c r="E427" s="8"/>
      <c r="F427" s="8"/>
      <c r="G427" s="8"/>
      <c r="H427" s="8"/>
      <c r="I427" s="8"/>
      <c r="J427" s="8"/>
      <c r="K427" s="8"/>
      <c r="M427" s="8"/>
      <c r="N427" s="8"/>
    </row>
    <row r="428" ht="15.75" customHeight="1">
      <c r="D428" s="8"/>
      <c r="E428" s="8"/>
      <c r="F428" s="8"/>
      <c r="G428" s="8"/>
      <c r="H428" s="8"/>
      <c r="I428" s="8"/>
      <c r="J428" s="8"/>
      <c r="K428" s="8"/>
      <c r="M428" s="8"/>
      <c r="N428" s="8"/>
    </row>
    <row r="429" ht="15.75" customHeight="1">
      <c r="D429" s="8"/>
      <c r="E429" s="8"/>
      <c r="F429" s="8"/>
      <c r="G429" s="8"/>
      <c r="H429" s="8"/>
      <c r="I429" s="8"/>
      <c r="J429" s="8"/>
      <c r="K429" s="8"/>
      <c r="M429" s="8"/>
      <c r="N429" s="8"/>
    </row>
    <row r="430" ht="15.75" customHeight="1">
      <c r="D430" s="8"/>
      <c r="E430" s="8"/>
      <c r="F430" s="8"/>
      <c r="G430" s="8"/>
      <c r="H430" s="8"/>
      <c r="I430" s="8"/>
      <c r="J430" s="8"/>
      <c r="K430" s="8"/>
      <c r="M430" s="8"/>
      <c r="N430" s="8"/>
    </row>
    <row r="431" ht="15.75" customHeight="1">
      <c r="D431" s="8"/>
      <c r="E431" s="8"/>
      <c r="F431" s="8"/>
      <c r="G431" s="8"/>
      <c r="H431" s="8"/>
      <c r="I431" s="8"/>
      <c r="J431" s="8"/>
      <c r="K431" s="8"/>
      <c r="M431" s="8"/>
      <c r="N431" s="8"/>
    </row>
    <row r="432" ht="15.75" customHeight="1">
      <c r="D432" s="8"/>
      <c r="E432" s="8"/>
      <c r="F432" s="8"/>
      <c r="G432" s="8"/>
      <c r="H432" s="8"/>
      <c r="I432" s="8"/>
      <c r="J432" s="8"/>
      <c r="K432" s="8"/>
      <c r="M432" s="8"/>
      <c r="N432" s="8"/>
    </row>
    <row r="433" ht="15.75" customHeight="1">
      <c r="D433" s="8"/>
      <c r="E433" s="8"/>
      <c r="F433" s="8"/>
      <c r="G433" s="8"/>
      <c r="H433" s="8"/>
      <c r="I433" s="8"/>
      <c r="J433" s="8"/>
      <c r="K433" s="8"/>
      <c r="M433" s="8"/>
      <c r="N433" s="8"/>
    </row>
    <row r="434" ht="15.75" customHeight="1">
      <c r="D434" s="8"/>
      <c r="E434" s="8"/>
      <c r="F434" s="8"/>
      <c r="G434" s="8"/>
      <c r="H434" s="8"/>
      <c r="I434" s="8"/>
      <c r="J434" s="8"/>
      <c r="K434" s="8"/>
      <c r="M434" s="8"/>
      <c r="N434" s="8"/>
    </row>
    <row r="435" ht="15.75" customHeight="1">
      <c r="D435" s="8"/>
      <c r="E435" s="8"/>
      <c r="F435" s="8"/>
      <c r="G435" s="8"/>
      <c r="H435" s="8"/>
      <c r="I435" s="8"/>
      <c r="J435" s="8"/>
      <c r="K435" s="8"/>
      <c r="M435" s="8"/>
      <c r="N435" s="8"/>
    </row>
    <row r="436" ht="15.75" customHeight="1">
      <c r="D436" s="8"/>
      <c r="E436" s="8"/>
      <c r="F436" s="8"/>
      <c r="G436" s="8"/>
      <c r="H436" s="8"/>
      <c r="I436" s="8"/>
      <c r="J436" s="8"/>
      <c r="K436" s="8"/>
      <c r="M436" s="8"/>
      <c r="N436" s="8"/>
    </row>
    <row r="437" ht="15.75" customHeight="1">
      <c r="D437" s="8"/>
      <c r="E437" s="8"/>
      <c r="F437" s="8"/>
      <c r="G437" s="8"/>
      <c r="H437" s="8"/>
      <c r="I437" s="8"/>
      <c r="J437" s="8"/>
      <c r="K437" s="8"/>
      <c r="M437" s="8"/>
      <c r="N437" s="8"/>
    </row>
    <row r="438" ht="15.75" customHeight="1">
      <c r="D438" s="8"/>
      <c r="E438" s="8"/>
      <c r="F438" s="8"/>
      <c r="G438" s="8"/>
      <c r="H438" s="8"/>
      <c r="I438" s="8"/>
      <c r="J438" s="8"/>
      <c r="K438" s="8"/>
      <c r="M438" s="8"/>
      <c r="N438" s="8"/>
    </row>
    <row r="439" ht="15.75" customHeight="1">
      <c r="D439" s="8"/>
      <c r="E439" s="8"/>
      <c r="F439" s="8"/>
      <c r="G439" s="8"/>
      <c r="H439" s="8"/>
      <c r="I439" s="8"/>
      <c r="J439" s="8"/>
      <c r="K439" s="8"/>
      <c r="M439" s="8"/>
      <c r="N439" s="8"/>
    </row>
    <row r="440" ht="15.75" customHeight="1">
      <c r="D440" s="8"/>
      <c r="E440" s="8"/>
      <c r="F440" s="8"/>
      <c r="G440" s="8"/>
      <c r="H440" s="8"/>
      <c r="I440" s="8"/>
      <c r="J440" s="8"/>
      <c r="K440" s="8"/>
      <c r="M440" s="8"/>
      <c r="N440" s="8"/>
    </row>
    <row r="441" ht="15.75" customHeight="1">
      <c r="D441" s="8"/>
      <c r="E441" s="8"/>
      <c r="F441" s="8"/>
      <c r="G441" s="8"/>
      <c r="H441" s="8"/>
      <c r="I441" s="8"/>
      <c r="J441" s="8"/>
      <c r="K441" s="8"/>
      <c r="M441" s="8"/>
      <c r="N441" s="8"/>
    </row>
    <row r="442" ht="15.75" customHeight="1">
      <c r="D442" s="8"/>
      <c r="E442" s="8"/>
      <c r="F442" s="8"/>
      <c r="G442" s="8"/>
      <c r="H442" s="8"/>
      <c r="I442" s="8"/>
      <c r="J442" s="8"/>
      <c r="K442" s="8"/>
      <c r="M442" s="8"/>
      <c r="N442" s="8"/>
    </row>
    <row r="443" ht="15.75" customHeight="1">
      <c r="D443" s="8"/>
      <c r="E443" s="8"/>
      <c r="F443" s="8"/>
      <c r="G443" s="8"/>
      <c r="H443" s="8"/>
      <c r="I443" s="8"/>
      <c r="J443" s="8"/>
      <c r="K443" s="8"/>
      <c r="M443" s="8"/>
      <c r="N443" s="8"/>
    </row>
    <row r="444" ht="15.75" customHeight="1">
      <c r="D444" s="8"/>
      <c r="E444" s="8"/>
      <c r="F444" s="8"/>
      <c r="G444" s="8"/>
      <c r="H444" s="8"/>
      <c r="I444" s="8"/>
      <c r="J444" s="8"/>
      <c r="K444" s="8"/>
      <c r="M444" s="8"/>
      <c r="N444" s="8"/>
    </row>
    <row r="445" ht="15.75" customHeight="1">
      <c r="D445" s="8"/>
      <c r="E445" s="8"/>
      <c r="F445" s="8"/>
      <c r="G445" s="8"/>
      <c r="H445" s="8"/>
      <c r="I445" s="8"/>
      <c r="J445" s="8"/>
      <c r="K445" s="8"/>
      <c r="M445" s="8"/>
      <c r="N445" s="8"/>
    </row>
    <row r="446" ht="15.75" customHeight="1">
      <c r="D446" s="8"/>
      <c r="E446" s="8"/>
      <c r="F446" s="8"/>
      <c r="G446" s="8"/>
      <c r="H446" s="8"/>
      <c r="I446" s="8"/>
      <c r="J446" s="8"/>
      <c r="K446" s="8"/>
      <c r="M446" s="8"/>
      <c r="N446" s="8"/>
    </row>
    <row r="447" ht="15.75" customHeight="1">
      <c r="D447" s="8"/>
      <c r="E447" s="8"/>
      <c r="F447" s="8"/>
      <c r="G447" s="8"/>
      <c r="H447" s="8"/>
      <c r="I447" s="8"/>
      <c r="J447" s="8"/>
      <c r="K447" s="8"/>
      <c r="M447" s="8"/>
      <c r="N447" s="8"/>
    </row>
    <row r="448" ht="15.75" customHeight="1">
      <c r="D448" s="8"/>
      <c r="E448" s="8"/>
      <c r="F448" s="8"/>
      <c r="G448" s="8"/>
      <c r="H448" s="8"/>
      <c r="I448" s="8"/>
      <c r="J448" s="8"/>
      <c r="K448" s="8"/>
      <c r="M448" s="8"/>
      <c r="N448" s="8"/>
    </row>
    <row r="449" ht="15.75" customHeight="1">
      <c r="D449" s="8"/>
      <c r="E449" s="8"/>
      <c r="F449" s="8"/>
      <c r="G449" s="8"/>
      <c r="H449" s="8"/>
      <c r="I449" s="8"/>
      <c r="J449" s="8"/>
      <c r="K449" s="8"/>
      <c r="M449" s="8"/>
      <c r="N449" s="8"/>
    </row>
    <row r="450" ht="15.75" customHeight="1">
      <c r="D450" s="8"/>
      <c r="E450" s="8"/>
      <c r="F450" s="8"/>
      <c r="G450" s="8"/>
      <c r="H450" s="8"/>
      <c r="I450" s="8"/>
      <c r="J450" s="8"/>
      <c r="K450" s="8"/>
      <c r="M450" s="8"/>
      <c r="N450" s="8"/>
    </row>
    <row r="451" ht="15.75" customHeight="1">
      <c r="D451" s="8"/>
      <c r="E451" s="8"/>
      <c r="F451" s="8"/>
      <c r="G451" s="8"/>
      <c r="H451" s="8"/>
      <c r="I451" s="8"/>
      <c r="J451" s="8"/>
      <c r="K451" s="8"/>
      <c r="M451" s="8"/>
      <c r="N451" s="8"/>
    </row>
    <row r="452" ht="15.75" customHeight="1">
      <c r="D452" s="8"/>
      <c r="E452" s="8"/>
      <c r="F452" s="8"/>
      <c r="G452" s="8"/>
      <c r="H452" s="8"/>
      <c r="I452" s="8"/>
      <c r="J452" s="8"/>
      <c r="K452" s="8"/>
      <c r="M452" s="8"/>
      <c r="N452" s="8"/>
    </row>
    <row r="453" ht="15.75" customHeight="1">
      <c r="D453" s="8"/>
      <c r="E453" s="8"/>
      <c r="F453" s="8"/>
      <c r="G453" s="8"/>
      <c r="H453" s="8"/>
      <c r="I453" s="8"/>
      <c r="J453" s="8"/>
      <c r="K453" s="8"/>
      <c r="M453" s="8"/>
      <c r="N453" s="8"/>
    </row>
    <row r="454" ht="15.75" customHeight="1">
      <c r="D454" s="8"/>
      <c r="E454" s="8"/>
      <c r="F454" s="8"/>
      <c r="G454" s="8"/>
      <c r="H454" s="8"/>
      <c r="I454" s="8"/>
      <c r="J454" s="8"/>
      <c r="K454" s="8"/>
      <c r="M454" s="8"/>
      <c r="N454" s="8"/>
    </row>
    <row r="455" ht="15.75" customHeight="1">
      <c r="D455" s="8"/>
      <c r="E455" s="8"/>
      <c r="F455" s="8"/>
      <c r="G455" s="8"/>
      <c r="H455" s="8"/>
      <c r="I455" s="8"/>
      <c r="J455" s="8"/>
      <c r="K455" s="8"/>
      <c r="M455" s="8"/>
      <c r="N455" s="8"/>
    </row>
    <row r="456" ht="15.75" customHeight="1">
      <c r="D456" s="8"/>
      <c r="E456" s="8"/>
      <c r="F456" s="8"/>
      <c r="G456" s="8"/>
      <c r="H456" s="8"/>
      <c r="I456" s="8"/>
      <c r="J456" s="8"/>
      <c r="K456" s="8"/>
      <c r="M456" s="8"/>
      <c r="N456" s="8"/>
    </row>
    <row r="457" ht="15.75" customHeight="1">
      <c r="D457" s="8"/>
      <c r="E457" s="8"/>
      <c r="F457" s="8"/>
      <c r="G457" s="8"/>
      <c r="H457" s="8"/>
      <c r="I457" s="8"/>
      <c r="J457" s="8"/>
      <c r="K457" s="8"/>
      <c r="M457" s="8"/>
      <c r="N457" s="8"/>
    </row>
    <row r="458" ht="15.75" customHeight="1">
      <c r="D458" s="8"/>
      <c r="E458" s="8"/>
      <c r="F458" s="8"/>
      <c r="G458" s="8"/>
      <c r="H458" s="8"/>
      <c r="I458" s="8"/>
      <c r="J458" s="8"/>
      <c r="K458" s="8"/>
      <c r="M458" s="8"/>
      <c r="N458" s="8"/>
    </row>
    <row r="459" ht="15.75" customHeight="1">
      <c r="D459" s="8"/>
      <c r="E459" s="8"/>
      <c r="F459" s="8"/>
      <c r="G459" s="8"/>
      <c r="H459" s="8"/>
      <c r="I459" s="8"/>
      <c r="J459" s="8"/>
      <c r="K459" s="8"/>
      <c r="M459" s="8"/>
      <c r="N459" s="8"/>
    </row>
    <row r="460" ht="15.75" customHeight="1">
      <c r="D460" s="8"/>
      <c r="E460" s="8"/>
      <c r="F460" s="8"/>
      <c r="G460" s="8"/>
      <c r="H460" s="8"/>
      <c r="I460" s="8"/>
      <c r="J460" s="8"/>
      <c r="K460" s="8"/>
      <c r="M460" s="8"/>
      <c r="N460" s="8"/>
    </row>
    <row r="461" ht="15.75" customHeight="1">
      <c r="D461" s="8"/>
      <c r="E461" s="8"/>
      <c r="F461" s="8"/>
      <c r="G461" s="8"/>
      <c r="H461" s="8"/>
      <c r="I461" s="8"/>
      <c r="J461" s="8"/>
      <c r="K461" s="8"/>
      <c r="M461" s="8"/>
      <c r="N461" s="8"/>
    </row>
    <row r="462" ht="15.75" customHeight="1">
      <c r="D462" s="8"/>
      <c r="E462" s="8"/>
      <c r="F462" s="8"/>
      <c r="G462" s="8"/>
      <c r="H462" s="8"/>
      <c r="I462" s="8"/>
      <c r="J462" s="8"/>
      <c r="K462" s="8"/>
      <c r="M462" s="8"/>
      <c r="N462" s="8"/>
    </row>
    <row r="463" ht="15.75" customHeight="1">
      <c r="D463" s="8"/>
      <c r="E463" s="8"/>
      <c r="F463" s="8"/>
      <c r="G463" s="8"/>
      <c r="H463" s="8"/>
      <c r="I463" s="8"/>
      <c r="J463" s="8"/>
      <c r="K463" s="8"/>
      <c r="M463" s="8"/>
      <c r="N463" s="8"/>
    </row>
    <row r="464" ht="15.75" customHeight="1">
      <c r="D464" s="8"/>
      <c r="E464" s="8"/>
      <c r="F464" s="8"/>
      <c r="G464" s="8"/>
      <c r="H464" s="8"/>
      <c r="I464" s="8"/>
      <c r="J464" s="8"/>
      <c r="K464" s="8"/>
      <c r="M464" s="8"/>
      <c r="N464" s="8"/>
    </row>
    <row r="465" ht="15.75" customHeight="1">
      <c r="D465" s="8"/>
      <c r="E465" s="8"/>
      <c r="F465" s="8"/>
      <c r="G465" s="8"/>
      <c r="H465" s="8"/>
      <c r="I465" s="8"/>
      <c r="J465" s="8"/>
      <c r="K465" s="8"/>
      <c r="M465" s="8"/>
      <c r="N465" s="8"/>
    </row>
    <row r="466" ht="15.75" customHeight="1">
      <c r="D466" s="8"/>
      <c r="E466" s="8"/>
      <c r="F466" s="8"/>
      <c r="G466" s="8"/>
      <c r="H466" s="8"/>
      <c r="I466" s="8"/>
      <c r="J466" s="8"/>
      <c r="K466" s="8"/>
      <c r="M466" s="8"/>
      <c r="N466" s="8"/>
    </row>
    <row r="467" ht="15.75" customHeight="1">
      <c r="D467" s="8"/>
      <c r="E467" s="8"/>
      <c r="F467" s="8"/>
      <c r="G467" s="8"/>
      <c r="H467" s="8"/>
      <c r="I467" s="8"/>
      <c r="J467" s="8"/>
      <c r="K467" s="8"/>
      <c r="M467" s="8"/>
      <c r="N467" s="8"/>
    </row>
    <row r="468" ht="15.75" customHeight="1">
      <c r="D468" s="8"/>
      <c r="E468" s="8"/>
      <c r="F468" s="8"/>
      <c r="G468" s="8"/>
      <c r="H468" s="8"/>
      <c r="I468" s="8"/>
      <c r="J468" s="8"/>
      <c r="K468" s="8"/>
      <c r="M468" s="8"/>
      <c r="N468" s="8"/>
    </row>
    <row r="469" ht="15.75" customHeight="1">
      <c r="D469" s="8"/>
      <c r="E469" s="8"/>
      <c r="F469" s="8"/>
      <c r="G469" s="8"/>
      <c r="H469" s="8"/>
      <c r="I469" s="8"/>
      <c r="J469" s="8"/>
      <c r="K469" s="8"/>
      <c r="M469" s="8"/>
      <c r="N469" s="8"/>
    </row>
    <row r="470" ht="15.75" customHeight="1">
      <c r="D470" s="8"/>
      <c r="E470" s="8"/>
      <c r="F470" s="8"/>
      <c r="G470" s="8"/>
      <c r="H470" s="8"/>
      <c r="I470" s="8"/>
      <c r="J470" s="8"/>
      <c r="K470" s="8"/>
      <c r="M470" s="8"/>
      <c r="N470" s="8"/>
    </row>
    <row r="471" ht="15.75" customHeight="1">
      <c r="D471" s="8"/>
      <c r="E471" s="8"/>
      <c r="F471" s="8"/>
      <c r="G471" s="8"/>
      <c r="H471" s="8"/>
      <c r="I471" s="8"/>
      <c r="J471" s="8"/>
      <c r="K471" s="8"/>
      <c r="M471" s="8"/>
      <c r="N471" s="8"/>
    </row>
    <row r="472" ht="15.75" customHeight="1">
      <c r="D472" s="8"/>
      <c r="E472" s="8"/>
      <c r="F472" s="8"/>
      <c r="G472" s="8"/>
      <c r="H472" s="8"/>
      <c r="I472" s="8"/>
      <c r="J472" s="8"/>
      <c r="K472" s="8"/>
      <c r="M472" s="8"/>
      <c r="N472" s="8"/>
    </row>
    <row r="473" ht="15.75" customHeight="1">
      <c r="D473" s="8"/>
      <c r="E473" s="8"/>
      <c r="F473" s="8"/>
      <c r="G473" s="8"/>
      <c r="H473" s="8"/>
      <c r="I473" s="8"/>
      <c r="J473" s="8"/>
      <c r="K473" s="8"/>
      <c r="M473" s="8"/>
      <c r="N473" s="8"/>
    </row>
    <row r="474" ht="15.75" customHeight="1">
      <c r="D474" s="8"/>
      <c r="E474" s="8"/>
      <c r="F474" s="8"/>
      <c r="G474" s="8"/>
      <c r="H474" s="8"/>
      <c r="I474" s="8"/>
      <c r="J474" s="8"/>
      <c r="K474" s="8"/>
      <c r="M474" s="8"/>
      <c r="N474" s="8"/>
    </row>
    <row r="475" ht="15.75" customHeight="1">
      <c r="D475" s="8"/>
      <c r="E475" s="8"/>
      <c r="F475" s="8"/>
      <c r="G475" s="8"/>
      <c r="H475" s="8"/>
      <c r="I475" s="8"/>
      <c r="J475" s="8"/>
      <c r="K475" s="8"/>
      <c r="M475" s="8"/>
      <c r="N475" s="8"/>
    </row>
    <row r="476" ht="15.75" customHeight="1">
      <c r="D476" s="8"/>
      <c r="E476" s="8"/>
      <c r="F476" s="8"/>
      <c r="G476" s="8"/>
      <c r="H476" s="8"/>
      <c r="I476" s="8"/>
      <c r="J476" s="8"/>
      <c r="K476" s="8"/>
      <c r="M476" s="8"/>
      <c r="N476" s="8"/>
    </row>
    <row r="477" ht="15.75" customHeight="1">
      <c r="D477" s="8"/>
      <c r="E477" s="8"/>
      <c r="F477" s="8"/>
      <c r="G477" s="8"/>
      <c r="H477" s="8"/>
      <c r="I477" s="8"/>
      <c r="J477" s="8"/>
      <c r="K477" s="8"/>
      <c r="M477" s="8"/>
      <c r="N477" s="8"/>
    </row>
    <row r="478" ht="15.75" customHeight="1">
      <c r="D478" s="8"/>
      <c r="E478" s="8"/>
      <c r="F478" s="8"/>
      <c r="G478" s="8"/>
      <c r="H478" s="8"/>
      <c r="I478" s="8"/>
      <c r="J478" s="8"/>
      <c r="K478" s="8"/>
      <c r="M478" s="8"/>
      <c r="N478" s="8"/>
    </row>
    <row r="479" ht="15.75" customHeight="1">
      <c r="D479" s="8"/>
      <c r="E479" s="8"/>
      <c r="F479" s="8"/>
      <c r="G479" s="8"/>
      <c r="H479" s="8"/>
      <c r="I479" s="8"/>
      <c r="J479" s="8"/>
      <c r="K479" s="8"/>
      <c r="M479" s="8"/>
      <c r="N479" s="8"/>
    </row>
    <row r="480" ht="15.75" customHeight="1">
      <c r="D480" s="8"/>
      <c r="E480" s="8"/>
      <c r="F480" s="8"/>
      <c r="G480" s="8"/>
      <c r="H480" s="8"/>
      <c r="I480" s="8"/>
      <c r="J480" s="8"/>
      <c r="K480" s="8"/>
      <c r="M480" s="8"/>
      <c r="N480" s="8"/>
    </row>
    <row r="481" ht="15.75" customHeight="1">
      <c r="D481" s="8"/>
      <c r="E481" s="8"/>
      <c r="F481" s="8"/>
      <c r="G481" s="8"/>
      <c r="H481" s="8"/>
      <c r="I481" s="8"/>
      <c r="J481" s="8"/>
      <c r="K481" s="8"/>
      <c r="M481" s="8"/>
      <c r="N481" s="8"/>
    </row>
    <row r="482" ht="15.75" customHeight="1">
      <c r="D482" s="8"/>
      <c r="E482" s="8"/>
      <c r="F482" s="8"/>
      <c r="G482" s="8"/>
      <c r="H482" s="8"/>
      <c r="I482" s="8"/>
      <c r="J482" s="8"/>
      <c r="K482" s="8"/>
      <c r="M482" s="8"/>
      <c r="N482" s="8"/>
    </row>
    <row r="483" ht="15.75" customHeight="1">
      <c r="D483" s="8"/>
      <c r="E483" s="8"/>
      <c r="F483" s="8"/>
      <c r="G483" s="8"/>
      <c r="H483" s="8"/>
      <c r="I483" s="8"/>
      <c r="J483" s="8"/>
      <c r="K483" s="8"/>
      <c r="M483" s="8"/>
      <c r="N483" s="8"/>
    </row>
    <row r="484" ht="15.75" customHeight="1">
      <c r="D484" s="8"/>
      <c r="E484" s="8"/>
      <c r="F484" s="8"/>
      <c r="G484" s="8"/>
      <c r="H484" s="8"/>
      <c r="I484" s="8"/>
      <c r="J484" s="8"/>
      <c r="K484" s="8"/>
      <c r="M484" s="8"/>
      <c r="N484" s="8"/>
    </row>
    <row r="485" ht="15.75" customHeight="1">
      <c r="D485" s="8"/>
      <c r="E485" s="8"/>
      <c r="F485" s="8"/>
      <c r="G485" s="8"/>
      <c r="H485" s="8"/>
      <c r="I485" s="8"/>
      <c r="J485" s="8"/>
      <c r="K485" s="8"/>
      <c r="M485" s="8"/>
      <c r="N485" s="8"/>
    </row>
    <row r="486" ht="15.75" customHeight="1">
      <c r="D486" s="8"/>
      <c r="E486" s="8"/>
      <c r="F486" s="8"/>
      <c r="G486" s="8"/>
      <c r="H486" s="8"/>
      <c r="I486" s="8"/>
      <c r="J486" s="8"/>
      <c r="K486" s="8"/>
      <c r="M486" s="8"/>
      <c r="N486" s="8"/>
    </row>
    <row r="487" ht="15.75" customHeight="1">
      <c r="D487" s="8"/>
      <c r="E487" s="8"/>
      <c r="F487" s="8"/>
      <c r="G487" s="8"/>
      <c r="H487" s="8"/>
      <c r="I487" s="8"/>
      <c r="J487" s="8"/>
      <c r="K487" s="8"/>
      <c r="M487" s="8"/>
      <c r="N487" s="8"/>
    </row>
    <row r="488" ht="15.75" customHeight="1">
      <c r="D488" s="8"/>
      <c r="E488" s="8"/>
      <c r="F488" s="8"/>
      <c r="G488" s="8"/>
      <c r="H488" s="8"/>
      <c r="I488" s="8"/>
      <c r="J488" s="8"/>
      <c r="K488" s="8"/>
      <c r="M488" s="8"/>
      <c r="N488" s="8"/>
    </row>
    <row r="489" ht="15.75" customHeight="1">
      <c r="D489" s="8"/>
      <c r="E489" s="8"/>
      <c r="F489" s="8"/>
      <c r="G489" s="8"/>
      <c r="H489" s="8"/>
      <c r="I489" s="8"/>
      <c r="J489" s="8"/>
      <c r="K489" s="8"/>
      <c r="M489" s="8"/>
      <c r="N489" s="8"/>
    </row>
    <row r="490" ht="15.75" customHeight="1">
      <c r="D490" s="8"/>
      <c r="E490" s="8"/>
      <c r="F490" s="8"/>
      <c r="G490" s="8"/>
      <c r="H490" s="8"/>
      <c r="I490" s="8"/>
      <c r="J490" s="8"/>
      <c r="K490" s="8"/>
      <c r="M490" s="8"/>
      <c r="N490" s="8"/>
    </row>
    <row r="491" ht="15.75" customHeight="1">
      <c r="D491" s="8"/>
      <c r="E491" s="8"/>
      <c r="F491" s="8"/>
      <c r="G491" s="8"/>
      <c r="H491" s="8"/>
      <c r="I491" s="8"/>
      <c r="J491" s="8"/>
      <c r="K491" s="8"/>
      <c r="M491" s="8"/>
      <c r="N491" s="8"/>
    </row>
    <row r="492" ht="15.75" customHeight="1">
      <c r="D492" s="8"/>
      <c r="E492" s="8"/>
      <c r="F492" s="8"/>
      <c r="G492" s="8"/>
      <c r="H492" s="8"/>
      <c r="I492" s="8"/>
      <c r="J492" s="8"/>
      <c r="K492" s="8"/>
      <c r="M492" s="8"/>
      <c r="N492" s="8"/>
    </row>
    <row r="493" ht="15.75" customHeight="1">
      <c r="D493" s="8"/>
      <c r="E493" s="8"/>
      <c r="F493" s="8"/>
      <c r="G493" s="8"/>
      <c r="H493" s="8"/>
      <c r="I493" s="8"/>
      <c r="J493" s="8"/>
      <c r="K493" s="8"/>
      <c r="M493" s="8"/>
      <c r="N493" s="8"/>
    </row>
    <row r="494" ht="15.75" customHeight="1">
      <c r="D494" s="8"/>
      <c r="E494" s="8"/>
      <c r="F494" s="8"/>
      <c r="G494" s="8"/>
      <c r="H494" s="8"/>
      <c r="I494" s="8"/>
      <c r="J494" s="8"/>
      <c r="K494" s="8"/>
      <c r="M494" s="8"/>
      <c r="N494" s="8"/>
    </row>
    <row r="495" ht="15.75" customHeight="1">
      <c r="D495" s="8"/>
      <c r="E495" s="8"/>
      <c r="F495" s="8"/>
      <c r="G495" s="8"/>
      <c r="H495" s="8"/>
      <c r="I495" s="8"/>
      <c r="J495" s="8"/>
      <c r="K495" s="8"/>
      <c r="M495" s="8"/>
      <c r="N495" s="8"/>
    </row>
    <row r="496" ht="15.75" customHeight="1">
      <c r="D496" s="8"/>
      <c r="E496" s="8"/>
      <c r="F496" s="8"/>
      <c r="G496" s="8"/>
      <c r="H496" s="8"/>
      <c r="I496" s="8"/>
      <c r="J496" s="8"/>
      <c r="K496" s="8"/>
      <c r="M496" s="8"/>
      <c r="N496" s="8"/>
    </row>
    <row r="497" ht="15.75" customHeight="1">
      <c r="D497" s="8"/>
      <c r="E497" s="8"/>
      <c r="F497" s="8"/>
      <c r="G497" s="8"/>
      <c r="H497" s="8"/>
      <c r="I497" s="8"/>
      <c r="J497" s="8"/>
      <c r="K497" s="8"/>
      <c r="M497" s="8"/>
      <c r="N497" s="8"/>
    </row>
    <row r="498" ht="15.75" customHeight="1">
      <c r="D498" s="8"/>
      <c r="E498" s="8"/>
      <c r="F498" s="8"/>
      <c r="G498" s="8"/>
      <c r="H498" s="8"/>
      <c r="I498" s="8"/>
      <c r="J498" s="8"/>
      <c r="K498" s="8"/>
      <c r="M498" s="8"/>
      <c r="N498" s="8"/>
    </row>
    <row r="499" ht="15.75" customHeight="1">
      <c r="D499" s="8"/>
      <c r="E499" s="8"/>
      <c r="F499" s="8"/>
      <c r="G499" s="8"/>
      <c r="H499" s="8"/>
      <c r="I499" s="8"/>
      <c r="J499" s="8"/>
      <c r="K499" s="8"/>
      <c r="M499" s="8"/>
      <c r="N499" s="8"/>
    </row>
    <row r="500" ht="15.75" customHeight="1">
      <c r="D500" s="8"/>
      <c r="E500" s="8"/>
      <c r="F500" s="8"/>
      <c r="G500" s="8"/>
      <c r="H500" s="8"/>
      <c r="I500" s="8"/>
      <c r="J500" s="8"/>
      <c r="K500" s="8"/>
      <c r="M500" s="8"/>
      <c r="N500" s="8"/>
    </row>
    <row r="501" ht="15.75" customHeight="1">
      <c r="D501" s="8"/>
      <c r="E501" s="8"/>
      <c r="F501" s="8"/>
      <c r="G501" s="8"/>
      <c r="H501" s="8"/>
      <c r="I501" s="8"/>
      <c r="J501" s="8"/>
      <c r="K501" s="8"/>
      <c r="M501" s="8"/>
      <c r="N501" s="8"/>
    </row>
    <row r="502" ht="15.75" customHeight="1">
      <c r="D502" s="8"/>
      <c r="E502" s="8"/>
      <c r="F502" s="8"/>
      <c r="G502" s="8"/>
      <c r="H502" s="8"/>
      <c r="I502" s="8"/>
      <c r="J502" s="8"/>
      <c r="K502" s="8"/>
      <c r="M502" s="8"/>
      <c r="N502" s="8"/>
    </row>
    <row r="503" ht="15.75" customHeight="1">
      <c r="D503" s="8"/>
      <c r="E503" s="8"/>
      <c r="F503" s="8"/>
      <c r="G503" s="8"/>
      <c r="H503" s="8"/>
      <c r="I503" s="8"/>
      <c r="J503" s="8"/>
      <c r="K503" s="8"/>
      <c r="M503" s="8"/>
      <c r="N503" s="8"/>
    </row>
    <row r="504" ht="15.75" customHeight="1">
      <c r="D504" s="8"/>
      <c r="E504" s="8"/>
      <c r="F504" s="8"/>
      <c r="G504" s="8"/>
      <c r="H504" s="8"/>
      <c r="I504" s="8"/>
      <c r="J504" s="8"/>
      <c r="K504" s="8"/>
      <c r="M504" s="8"/>
      <c r="N504" s="8"/>
    </row>
    <row r="505" ht="15.75" customHeight="1">
      <c r="D505" s="8"/>
      <c r="E505" s="8"/>
      <c r="F505" s="8"/>
      <c r="G505" s="8"/>
      <c r="H505" s="8"/>
      <c r="I505" s="8"/>
      <c r="J505" s="8"/>
      <c r="K505" s="8"/>
      <c r="M505" s="8"/>
      <c r="N505" s="8"/>
    </row>
    <row r="506" ht="15.75" customHeight="1">
      <c r="D506" s="8"/>
      <c r="E506" s="8"/>
      <c r="F506" s="8"/>
      <c r="G506" s="8"/>
      <c r="H506" s="8"/>
      <c r="I506" s="8"/>
      <c r="J506" s="8"/>
      <c r="K506" s="8"/>
      <c r="M506" s="8"/>
      <c r="N506" s="8"/>
    </row>
    <row r="507" ht="15.75" customHeight="1">
      <c r="D507" s="8"/>
      <c r="E507" s="8"/>
      <c r="F507" s="8"/>
      <c r="G507" s="8"/>
      <c r="H507" s="8"/>
      <c r="I507" s="8"/>
      <c r="J507" s="8"/>
      <c r="K507" s="8"/>
      <c r="M507" s="8"/>
      <c r="N507" s="8"/>
    </row>
    <row r="508" ht="15.75" customHeight="1">
      <c r="D508" s="8"/>
      <c r="E508" s="8"/>
      <c r="F508" s="8"/>
      <c r="G508" s="8"/>
      <c r="H508" s="8"/>
      <c r="I508" s="8"/>
      <c r="J508" s="8"/>
      <c r="K508" s="8"/>
      <c r="M508" s="8"/>
      <c r="N508" s="8"/>
    </row>
    <row r="509" ht="15.75" customHeight="1">
      <c r="D509" s="8"/>
      <c r="E509" s="8"/>
      <c r="F509" s="8"/>
      <c r="G509" s="8"/>
      <c r="H509" s="8"/>
      <c r="I509" s="8"/>
      <c r="J509" s="8"/>
      <c r="K509" s="8"/>
      <c r="M509" s="8"/>
      <c r="N509" s="8"/>
    </row>
    <row r="510" ht="15.75" customHeight="1">
      <c r="D510" s="8"/>
      <c r="E510" s="8"/>
      <c r="F510" s="8"/>
      <c r="G510" s="8"/>
      <c r="H510" s="8"/>
      <c r="I510" s="8"/>
      <c r="J510" s="8"/>
      <c r="K510" s="8"/>
      <c r="M510" s="8"/>
      <c r="N510" s="8"/>
    </row>
    <row r="511" ht="15.75" customHeight="1">
      <c r="D511" s="8"/>
      <c r="E511" s="8"/>
      <c r="F511" s="8"/>
      <c r="G511" s="8"/>
      <c r="H511" s="8"/>
      <c r="I511" s="8"/>
      <c r="J511" s="8"/>
      <c r="K511" s="8"/>
      <c r="M511" s="8"/>
      <c r="N511" s="8"/>
    </row>
    <row r="512" ht="15.75" customHeight="1">
      <c r="D512" s="8"/>
      <c r="E512" s="8"/>
      <c r="F512" s="8"/>
      <c r="G512" s="8"/>
      <c r="H512" s="8"/>
      <c r="I512" s="8"/>
      <c r="J512" s="8"/>
      <c r="K512" s="8"/>
      <c r="M512" s="8"/>
      <c r="N512" s="8"/>
    </row>
    <row r="513" ht="15.75" customHeight="1">
      <c r="D513" s="8"/>
      <c r="E513" s="8"/>
      <c r="F513" s="8"/>
      <c r="G513" s="8"/>
      <c r="H513" s="8"/>
      <c r="I513" s="8"/>
      <c r="J513" s="8"/>
      <c r="K513" s="8"/>
      <c r="M513" s="8"/>
      <c r="N513" s="8"/>
    </row>
    <row r="514" ht="15.75" customHeight="1">
      <c r="D514" s="8"/>
      <c r="E514" s="8"/>
      <c r="F514" s="8"/>
      <c r="G514" s="8"/>
      <c r="H514" s="8"/>
      <c r="I514" s="8"/>
      <c r="J514" s="8"/>
      <c r="K514" s="8"/>
      <c r="M514" s="8"/>
      <c r="N514" s="8"/>
    </row>
    <row r="515" ht="15.75" customHeight="1">
      <c r="D515" s="8"/>
      <c r="E515" s="8"/>
      <c r="F515" s="8"/>
      <c r="G515" s="8"/>
      <c r="H515" s="8"/>
      <c r="I515" s="8"/>
      <c r="J515" s="8"/>
      <c r="K515" s="8"/>
      <c r="M515" s="8"/>
      <c r="N515" s="8"/>
    </row>
    <row r="516" ht="15.75" customHeight="1">
      <c r="D516" s="8"/>
      <c r="E516" s="8"/>
      <c r="F516" s="8"/>
      <c r="G516" s="8"/>
      <c r="H516" s="8"/>
      <c r="I516" s="8"/>
      <c r="J516" s="8"/>
      <c r="K516" s="8"/>
      <c r="M516" s="8"/>
      <c r="N516" s="8"/>
    </row>
    <row r="517" ht="15.75" customHeight="1">
      <c r="D517" s="8"/>
      <c r="E517" s="8"/>
      <c r="F517" s="8"/>
      <c r="G517" s="8"/>
      <c r="H517" s="8"/>
      <c r="I517" s="8"/>
      <c r="J517" s="8"/>
      <c r="K517" s="8"/>
      <c r="M517" s="8"/>
      <c r="N517" s="8"/>
    </row>
    <row r="518" ht="15.75" customHeight="1">
      <c r="D518" s="8"/>
      <c r="E518" s="8"/>
      <c r="F518" s="8"/>
      <c r="G518" s="8"/>
      <c r="H518" s="8"/>
      <c r="I518" s="8"/>
      <c r="J518" s="8"/>
      <c r="K518" s="8"/>
      <c r="M518" s="8"/>
      <c r="N518" s="8"/>
    </row>
    <row r="519" ht="15.75" customHeight="1">
      <c r="D519" s="8"/>
      <c r="E519" s="8"/>
      <c r="F519" s="8"/>
      <c r="G519" s="8"/>
      <c r="H519" s="8"/>
      <c r="I519" s="8"/>
      <c r="J519" s="8"/>
      <c r="K519" s="8"/>
      <c r="M519" s="8"/>
      <c r="N519" s="8"/>
    </row>
    <row r="520" ht="15.75" customHeight="1">
      <c r="D520" s="8"/>
      <c r="E520" s="8"/>
      <c r="F520" s="8"/>
      <c r="G520" s="8"/>
      <c r="H520" s="8"/>
      <c r="I520" s="8"/>
      <c r="J520" s="8"/>
      <c r="K520" s="8"/>
      <c r="M520" s="8"/>
      <c r="N520" s="8"/>
    </row>
    <row r="521" ht="15.75" customHeight="1">
      <c r="D521" s="8"/>
      <c r="E521" s="8"/>
      <c r="F521" s="8"/>
      <c r="G521" s="8"/>
      <c r="H521" s="8"/>
      <c r="I521" s="8"/>
      <c r="J521" s="8"/>
      <c r="K521" s="8"/>
      <c r="M521" s="8"/>
      <c r="N521" s="8"/>
    </row>
    <row r="522" ht="15.75" customHeight="1">
      <c r="D522" s="8"/>
      <c r="E522" s="8"/>
      <c r="F522" s="8"/>
      <c r="G522" s="8"/>
      <c r="H522" s="8"/>
      <c r="I522" s="8"/>
      <c r="J522" s="8"/>
      <c r="K522" s="8"/>
      <c r="M522" s="8"/>
      <c r="N522" s="8"/>
    </row>
    <row r="523" ht="15.75" customHeight="1">
      <c r="D523" s="8"/>
      <c r="E523" s="8"/>
      <c r="F523" s="8"/>
      <c r="G523" s="8"/>
      <c r="H523" s="8"/>
      <c r="I523" s="8"/>
      <c r="J523" s="8"/>
      <c r="K523" s="8"/>
      <c r="M523" s="8"/>
      <c r="N523" s="8"/>
    </row>
    <row r="524" ht="15.75" customHeight="1">
      <c r="D524" s="8"/>
      <c r="E524" s="8"/>
      <c r="F524" s="8"/>
      <c r="G524" s="8"/>
      <c r="H524" s="8"/>
      <c r="I524" s="8"/>
      <c r="J524" s="8"/>
      <c r="K524" s="8"/>
      <c r="M524" s="8"/>
      <c r="N524" s="8"/>
    </row>
    <row r="525" ht="15.75" customHeight="1">
      <c r="D525" s="8"/>
      <c r="E525" s="8"/>
      <c r="F525" s="8"/>
      <c r="G525" s="8"/>
      <c r="H525" s="8"/>
      <c r="I525" s="8"/>
      <c r="J525" s="8"/>
      <c r="K525" s="8"/>
      <c r="M525" s="8"/>
      <c r="N525" s="8"/>
    </row>
    <row r="526" ht="15.75" customHeight="1">
      <c r="D526" s="8"/>
      <c r="E526" s="8"/>
      <c r="F526" s="8"/>
      <c r="G526" s="8"/>
      <c r="H526" s="8"/>
      <c r="I526" s="8"/>
      <c r="J526" s="8"/>
      <c r="K526" s="8"/>
      <c r="M526" s="8"/>
      <c r="N526" s="8"/>
    </row>
    <row r="527" ht="15.75" customHeight="1">
      <c r="D527" s="8"/>
      <c r="E527" s="8"/>
      <c r="F527" s="8"/>
      <c r="G527" s="8"/>
      <c r="H527" s="8"/>
      <c r="I527" s="8"/>
      <c r="J527" s="8"/>
      <c r="K527" s="8"/>
      <c r="M527" s="8"/>
      <c r="N527" s="8"/>
    </row>
    <row r="528" ht="15.75" customHeight="1">
      <c r="D528" s="8"/>
      <c r="E528" s="8"/>
      <c r="F528" s="8"/>
      <c r="G528" s="8"/>
      <c r="H528" s="8"/>
      <c r="I528" s="8"/>
      <c r="J528" s="8"/>
      <c r="K528" s="8"/>
      <c r="M528" s="8"/>
      <c r="N528" s="8"/>
    </row>
    <row r="529" ht="15.75" customHeight="1">
      <c r="D529" s="8"/>
      <c r="E529" s="8"/>
      <c r="F529" s="8"/>
      <c r="G529" s="8"/>
      <c r="H529" s="8"/>
      <c r="I529" s="8"/>
      <c r="J529" s="8"/>
      <c r="K529" s="8"/>
      <c r="M529" s="8"/>
      <c r="N529" s="8"/>
    </row>
    <row r="530" ht="15.75" customHeight="1">
      <c r="D530" s="8"/>
      <c r="E530" s="8"/>
      <c r="F530" s="8"/>
      <c r="G530" s="8"/>
      <c r="H530" s="8"/>
      <c r="I530" s="8"/>
      <c r="J530" s="8"/>
      <c r="K530" s="8"/>
      <c r="M530" s="8"/>
      <c r="N530" s="8"/>
    </row>
    <row r="531" ht="15.75" customHeight="1">
      <c r="D531" s="8"/>
      <c r="E531" s="8"/>
      <c r="F531" s="8"/>
      <c r="G531" s="8"/>
      <c r="H531" s="8"/>
      <c r="I531" s="8"/>
      <c r="J531" s="8"/>
      <c r="K531" s="8"/>
      <c r="M531" s="8"/>
      <c r="N531" s="8"/>
    </row>
    <row r="532" ht="15.75" customHeight="1">
      <c r="D532" s="8"/>
      <c r="E532" s="8"/>
      <c r="F532" s="8"/>
      <c r="G532" s="8"/>
      <c r="H532" s="8"/>
      <c r="I532" s="8"/>
      <c r="J532" s="8"/>
      <c r="K532" s="8"/>
      <c r="M532" s="8"/>
      <c r="N532" s="8"/>
    </row>
    <row r="533" ht="15.75" customHeight="1">
      <c r="D533" s="8"/>
      <c r="E533" s="8"/>
      <c r="F533" s="8"/>
      <c r="G533" s="8"/>
      <c r="H533" s="8"/>
      <c r="I533" s="8"/>
      <c r="J533" s="8"/>
      <c r="K533" s="8"/>
      <c r="M533" s="8"/>
      <c r="N533" s="8"/>
    </row>
    <row r="534" ht="15.75" customHeight="1">
      <c r="D534" s="8"/>
      <c r="E534" s="8"/>
      <c r="F534" s="8"/>
      <c r="G534" s="8"/>
      <c r="H534" s="8"/>
      <c r="I534" s="8"/>
      <c r="J534" s="8"/>
      <c r="K534" s="8"/>
      <c r="M534" s="8"/>
      <c r="N534" s="8"/>
    </row>
    <row r="535" ht="15.75" customHeight="1">
      <c r="D535" s="8"/>
      <c r="E535" s="8"/>
      <c r="F535" s="8"/>
      <c r="G535" s="8"/>
      <c r="H535" s="8"/>
      <c r="I535" s="8"/>
      <c r="J535" s="8"/>
      <c r="K535" s="8"/>
      <c r="M535" s="8"/>
      <c r="N535" s="8"/>
    </row>
    <row r="536" ht="15.75" customHeight="1">
      <c r="D536" s="8"/>
      <c r="E536" s="8"/>
      <c r="F536" s="8"/>
      <c r="G536" s="8"/>
      <c r="H536" s="8"/>
      <c r="I536" s="8"/>
      <c r="J536" s="8"/>
      <c r="K536" s="8"/>
      <c r="M536" s="8"/>
      <c r="N536" s="8"/>
    </row>
    <row r="537" ht="15.75" customHeight="1">
      <c r="D537" s="8"/>
      <c r="E537" s="8"/>
      <c r="F537" s="8"/>
      <c r="G537" s="8"/>
      <c r="H537" s="8"/>
      <c r="I537" s="8"/>
      <c r="J537" s="8"/>
      <c r="K537" s="8"/>
      <c r="M537" s="8"/>
      <c r="N537" s="8"/>
    </row>
    <row r="538" ht="15.75" customHeight="1">
      <c r="D538" s="8"/>
      <c r="E538" s="8"/>
      <c r="F538" s="8"/>
      <c r="G538" s="8"/>
      <c r="H538" s="8"/>
      <c r="I538" s="8"/>
      <c r="J538" s="8"/>
      <c r="K538" s="8"/>
      <c r="M538" s="8"/>
      <c r="N538" s="8"/>
    </row>
    <row r="539" ht="15.75" customHeight="1">
      <c r="D539" s="8"/>
      <c r="E539" s="8"/>
      <c r="F539" s="8"/>
      <c r="G539" s="8"/>
      <c r="H539" s="8"/>
      <c r="I539" s="8"/>
      <c r="J539" s="8"/>
      <c r="K539" s="8"/>
      <c r="M539" s="8"/>
      <c r="N539" s="8"/>
    </row>
    <row r="540" ht="15.75" customHeight="1">
      <c r="D540" s="8"/>
      <c r="E540" s="8"/>
      <c r="F540" s="8"/>
      <c r="G540" s="8"/>
      <c r="H540" s="8"/>
      <c r="I540" s="8"/>
      <c r="J540" s="8"/>
      <c r="K540" s="8"/>
      <c r="M540" s="8"/>
      <c r="N540" s="8"/>
    </row>
    <row r="541" ht="15.75" customHeight="1">
      <c r="D541" s="8"/>
      <c r="E541" s="8"/>
      <c r="F541" s="8"/>
      <c r="G541" s="8"/>
      <c r="H541" s="8"/>
      <c r="I541" s="8"/>
      <c r="J541" s="8"/>
      <c r="K541" s="8"/>
      <c r="M541" s="8"/>
      <c r="N541" s="8"/>
    </row>
    <row r="542" ht="15.75" customHeight="1">
      <c r="D542" s="8"/>
      <c r="E542" s="8"/>
      <c r="F542" s="8"/>
      <c r="G542" s="8"/>
      <c r="H542" s="8"/>
      <c r="I542" s="8"/>
      <c r="J542" s="8"/>
      <c r="K542" s="8"/>
      <c r="M542" s="8"/>
      <c r="N542" s="8"/>
    </row>
    <row r="543" ht="15.75" customHeight="1">
      <c r="D543" s="8"/>
      <c r="E543" s="8"/>
      <c r="F543" s="8"/>
      <c r="G543" s="8"/>
      <c r="H543" s="8"/>
      <c r="I543" s="8"/>
      <c r="J543" s="8"/>
      <c r="K543" s="8"/>
      <c r="M543" s="8"/>
      <c r="N543" s="8"/>
    </row>
    <row r="544" ht="15.75" customHeight="1">
      <c r="D544" s="8"/>
      <c r="E544" s="8"/>
      <c r="F544" s="8"/>
      <c r="G544" s="8"/>
      <c r="H544" s="8"/>
      <c r="I544" s="8"/>
      <c r="J544" s="8"/>
      <c r="K544" s="8"/>
      <c r="M544" s="8"/>
      <c r="N544" s="8"/>
    </row>
    <row r="545" ht="15.75" customHeight="1">
      <c r="D545" s="8"/>
      <c r="E545" s="8"/>
      <c r="F545" s="8"/>
      <c r="G545" s="8"/>
      <c r="H545" s="8"/>
      <c r="I545" s="8"/>
      <c r="J545" s="8"/>
      <c r="K545" s="8"/>
      <c r="M545" s="8"/>
      <c r="N545" s="8"/>
    </row>
    <row r="546" ht="15.75" customHeight="1">
      <c r="D546" s="8"/>
      <c r="E546" s="8"/>
      <c r="F546" s="8"/>
      <c r="G546" s="8"/>
      <c r="H546" s="8"/>
      <c r="I546" s="8"/>
      <c r="J546" s="8"/>
      <c r="K546" s="8"/>
      <c r="M546" s="8"/>
      <c r="N546" s="8"/>
    </row>
    <row r="547" ht="15.75" customHeight="1">
      <c r="D547" s="8"/>
      <c r="E547" s="8"/>
      <c r="F547" s="8"/>
      <c r="G547" s="8"/>
      <c r="H547" s="8"/>
      <c r="I547" s="8"/>
      <c r="J547" s="8"/>
      <c r="K547" s="8"/>
      <c r="M547" s="8"/>
      <c r="N547" s="8"/>
    </row>
    <row r="548" ht="15.75" customHeight="1">
      <c r="D548" s="8"/>
      <c r="E548" s="8"/>
      <c r="F548" s="8"/>
      <c r="G548" s="8"/>
      <c r="H548" s="8"/>
      <c r="I548" s="8"/>
      <c r="J548" s="8"/>
      <c r="K548" s="8"/>
      <c r="M548" s="8"/>
      <c r="N548" s="8"/>
    </row>
    <row r="549" ht="15.75" customHeight="1">
      <c r="D549" s="8"/>
      <c r="E549" s="8"/>
      <c r="F549" s="8"/>
      <c r="G549" s="8"/>
      <c r="H549" s="8"/>
      <c r="I549" s="8"/>
      <c r="J549" s="8"/>
      <c r="K549" s="8"/>
      <c r="M549" s="8"/>
      <c r="N549" s="8"/>
    </row>
    <row r="550" ht="15.75" customHeight="1">
      <c r="D550" s="8"/>
      <c r="E550" s="8"/>
      <c r="F550" s="8"/>
      <c r="G550" s="8"/>
      <c r="H550" s="8"/>
      <c r="I550" s="8"/>
      <c r="J550" s="8"/>
      <c r="K550" s="8"/>
      <c r="M550" s="8"/>
      <c r="N550" s="8"/>
    </row>
    <row r="551" ht="15.75" customHeight="1">
      <c r="D551" s="8"/>
      <c r="E551" s="8"/>
      <c r="F551" s="8"/>
      <c r="G551" s="8"/>
      <c r="H551" s="8"/>
      <c r="I551" s="8"/>
      <c r="J551" s="8"/>
      <c r="K551" s="8"/>
      <c r="M551" s="8"/>
      <c r="N551" s="8"/>
    </row>
    <row r="552" ht="15.75" customHeight="1">
      <c r="D552" s="8"/>
      <c r="E552" s="8"/>
      <c r="F552" s="8"/>
      <c r="G552" s="8"/>
      <c r="H552" s="8"/>
      <c r="I552" s="8"/>
      <c r="J552" s="8"/>
      <c r="K552" s="8"/>
      <c r="M552" s="8"/>
      <c r="N552" s="8"/>
    </row>
    <row r="553" ht="15.75" customHeight="1">
      <c r="D553" s="8"/>
      <c r="E553" s="8"/>
      <c r="F553" s="8"/>
      <c r="G553" s="8"/>
      <c r="H553" s="8"/>
      <c r="I553" s="8"/>
      <c r="J553" s="8"/>
      <c r="K553" s="8"/>
      <c r="M553" s="8"/>
      <c r="N553" s="8"/>
    </row>
    <row r="554" ht="15.75" customHeight="1">
      <c r="D554" s="8"/>
      <c r="E554" s="8"/>
      <c r="F554" s="8"/>
      <c r="G554" s="8"/>
      <c r="H554" s="8"/>
      <c r="I554" s="8"/>
      <c r="J554" s="8"/>
      <c r="K554" s="8"/>
      <c r="M554" s="8"/>
      <c r="N554" s="8"/>
    </row>
    <row r="555" ht="15.75" customHeight="1">
      <c r="D555" s="8"/>
      <c r="E555" s="8"/>
      <c r="F555" s="8"/>
      <c r="G555" s="8"/>
      <c r="H555" s="8"/>
      <c r="I555" s="8"/>
      <c r="J555" s="8"/>
      <c r="K555" s="8"/>
      <c r="M555" s="8"/>
      <c r="N555" s="8"/>
    </row>
    <row r="556" ht="15.75" customHeight="1">
      <c r="D556" s="8"/>
      <c r="E556" s="8"/>
      <c r="F556" s="8"/>
      <c r="G556" s="8"/>
      <c r="H556" s="8"/>
      <c r="I556" s="8"/>
      <c r="J556" s="8"/>
      <c r="K556" s="8"/>
      <c r="M556" s="8"/>
      <c r="N556" s="8"/>
    </row>
    <row r="557" ht="15.75" customHeight="1">
      <c r="D557" s="8"/>
      <c r="E557" s="8"/>
      <c r="F557" s="8"/>
      <c r="G557" s="8"/>
      <c r="H557" s="8"/>
      <c r="I557" s="8"/>
      <c r="J557" s="8"/>
      <c r="K557" s="8"/>
      <c r="M557" s="8"/>
      <c r="N557" s="8"/>
    </row>
    <row r="558" ht="15.75" customHeight="1">
      <c r="D558" s="8"/>
      <c r="E558" s="8"/>
      <c r="F558" s="8"/>
      <c r="G558" s="8"/>
      <c r="H558" s="8"/>
      <c r="I558" s="8"/>
      <c r="J558" s="8"/>
      <c r="K558" s="8"/>
      <c r="M558" s="8"/>
      <c r="N558" s="8"/>
    </row>
    <row r="559" ht="15.75" customHeight="1">
      <c r="D559" s="8"/>
      <c r="E559" s="8"/>
      <c r="F559" s="8"/>
      <c r="G559" s="8"/>
      <c r="H559" s="8"/>
      <c r="I559" s="8"/>
      <c r="J559" s="8"/>
      <c r="K559" s="8"/>
      <c r="M559" s="8"/>
      <c r="N559" s="8"/>
    </row>
    <row r="560" ht="15.75" customHeight="1">
      <c r="D560" s="8"/>
      <c r="E560" s="8"/>
      <c r="F560" s="8"/>
      <c r="G560" s="8"/>
      <c r="H560" s="8"/>
      <c r="I560" s="8"/>
      <c r="J560" s="8"/>
      <c r="K560" s="8"/>
      <c r="M560" s="8"/>
      <c r="N560" s="8"/>
    </row>
    <row r="561" ht="15.75" customHeight="1">
      <c r="D561" s="8"/>
      <c r="E561" s="8"/>
      <c r="F561" s="8"/>
      <c r="G561" s="8"/>
      <c r="H561" s="8"/>
      <c r="I561" s="8"/>
      <c r="J561" s="8"/>
      <c r="K561" s="8"/>
      <c r="M561" s="8"/>
      <c r="N561" s="8"/>
    </row>
    <row r="562" ht="15.75" customHeight="1">
      <c r="D562" s="8"/>
      <c r="E562" s="8"/>
      <c r="F562" s="8"/>
      <c r="G562" s="8"/>
      <c r="H562" s="8"/>
      <c r="I562" s="8"/>
      <c r="J562" s="8"/>
      <c r="K562" s="8"/>
      <c r="M562" s="8"/>
      <c r="N562" s="8"/>
    </row>
    <row r="563" ht="15.75" customHeight="1">
      <c r="D563" s="8"/>
      <c r="E563" s="8"/>
      <c r="F563" s="8"/>
      <c r="G563" s="8"/>
      <c r="H563" s="8"/>
      <c r="I563" s="8"/>
      <c r="J563" s="8"/>
      <c r="K563" s="8"/>
      <c r="M563" s="8"/>
      <c r="N563" s="8"/>
    </row>
    <row r="564" ht="15.75" customHeight="1">
      <c r="D564" s="8"/>
      <c r="E564" s="8"/>
      <c r="F564" s="8"/>
      <c r="G564" s="8"/>
      <c r="H564" s="8"/>
      <c r="I564" s="8"/>
      <c r="J564" s="8"/>
      <c r="K564" s="8"/>
      <c r="M564" s="8"/>
      <c r="N564" s="8"/>
    </row>
    <row r="565" ht="15.75" customHeight="1">
      <c r="D565" s="8"/>
      <c r="E565" s="8"/>
      <c r="F565" s="8"/>
      <c r="G565" s="8"/>
      <c r="H565" s="8"/>
      <c r="I565" s="8"/>
      <c r="J565" s="8"/>
      <c r="K565" s="8"/>
      <c r="M565" s="8"/>
      <c r="N565" s="8"/>
    </row>
    <row r="566" ht="15.75" customHeight="1">
      <c r="D566" s="8"/>
      <c r="E566" s="8"/>
      <c r="F566" s="8"/>
      <c r="G566" s="8"/>
      <c r="H566" s="8"/>
      <c r="I566" s="8"/>
      <c r="J566" s="8"/>
      <c r="K566" s="8"/>
      <c r="M566" s="8"/>
      <c r="N566" s="8"/>
    </row>
    <row r="567" ht="15.75" customHeight="1">
      <c r="D567" s="8"/>
      <c r="E567" s="8"/>
      <c r="F567" s="8"/>
      <c r="G567" s="8"/>
      <c r="H567" s="8"/>
      <c r="I567" s="8"/>
      <c r="J567" s="8"/>
      <c r="K567" s="8"/>
      <c r="M567" s="8"/>
      <c r="N567" s="8"/>
    </row>
    <row r="568" ht="15.75" customHeight="1">
      <c r="D568" s="8"/>
      <c r="E568" s="8"/>
      <c r="F568" s="8"/>
      <c r="G568" s="8"/>
      <c r="H568" s="8"/>
      <c r="I568" s="8"/>
      <c r="J568" s="8"/>
      <c r="K568" s="8"/>
      <c r="M568" s="8"/>
      <c r="N568" s="8"/>
    </row>
    <row r="569" ht="15.75" customHeight="1">
      <c r="D569" s="8"/>
      <c r="E569" s="8"/>
      <c r="F569" s="8"/>
      <c r="G569" s="8"/>
      <c r="H569" s="8"/>
      <c r="I569" s="8"/>
      <c r="J569" s="8"/>
      <c r="K569" s="8"/>
      <c r="M569" s="8"/>
      <c r="N569" s="8"/>
    </row>
    <row r="570" ht="15.75" customHeight="1">
      <c r="D570" s="8"/>
      <c r="E570" s="8"/>
      <c r="F570" s="8"/>
      <c r="G570" s="8"/>
      <c r="H570" s="8"/>
      <c r="I570" s="8"/>
      <c r="J570" s="8"/>
      <c r="K570" s="8"/>
      <c r="M570" s="8"/>
      <c r="N570" s="8"/>
    </row>
    <row r="571" ht="15.75" customHeight="1">
      <c r="D571" s="8"/>
      <c r="E571" s="8"/>
      <c r="F571" s="8"/>
      <c r="G571" s="8"/>
      <c r="H571" s="8"/>
      <c r="I571" s="8"/>
      <c r="J571" s="8"/>
      <c r="K571" s="8"/>
      <c r="M571" s="8"/>
      <c r="N571" s="8"/>
    </row>
    <row r="572" ht="15.75" customHeight="1">
      <c r="D572" s="8"/>
      <c r="E572" s="8"/>
      <c r="F572" s="8"/>
      <c r="G572" s="8"/>
      <c r="H572" s="8"/>
      <c r="I572" s="8"/>
      <c r="J572" s="8"/>
      <c r="K572" s="8"/>
      <c r="M572" s="8"/>
      <c r="N572" s="8"/>
    </row>
    <row r="573" ht="15.75" customHeight="1">
      <c r="D573" s="8"/>
      <c r="E573" s="8"/>
      <c r="F573" s="8"/>
      <c r="G573" s="8"/>
      <c r="H573" s="8"/>
      <c r="I573" s="8"/>
      <c r="J573" s="8"/>
      <c r="K573" s="8"/>
      <c r="M573" s="8"/>
      <c r="N573" s="8"/>
    </row>
    <row r="574" ht="15.75" customHeight="1">
      <c r="D574" s="8"/>
      <c r="E574" s="8"/>
      <c r="F574" s="8"/>
      <c r="G574" s="8"/>
      <c r="H574" s="8"/>
      <c r="I574" s="8"/>
      <c r="J574" s="8"/>
      <c r="K574" s="8"/>
      <c r="M574" s="8"/>
      <c r="N574" s="8"/>
    </row>
    <row r="575" ht="15.75" customHeight="1">
      <c r="D575" s="8"/>
      <c r="E575" s="8"/>
      <c r="F575" s="8"/>
      <c r="G575" s="8"/>
      <c r="H575" s="8"/>
      <c r="I575" s="8"/>
      <c r="J575" s="8"/>
      <c r="K575" s="8"/>
      <c r="M575" s="8"/>
      <c r="N575" s="8"/>
    </row>
    <row r="576" ht="15.75" customHeight="1">
      <c r="D576" s="8"/>
      <c r="E576" s="8"/>
      <c r="F576" s="8"/>
      <c r="G576" s="8"/>
      <c r="H576" s="8"/>
      <c r="I576" s="8"/>
      <c r="J576" s="8"/>
      <c r="K576" s="8"/>
      <c r="M576" s="8"/>
      <c r="N576" s="8"/>
    </row>
    <row r="577" ht="15.75" customHeight="1">
      <c r="D577" s="8"/>
      <c r="E577" s="8"/>
      <c r="F577" s="8"/>
      <c r="G577" s="8"/>
      <c r="H577" s="8"/>
      <c r="I577" s="8"/>
      <c r="J577" s="8"/>
      <c r="K577" s="8"/>
      <c r="M577" s="8"/>
      <c r="N577" s="8"/>
    </row>
    <row r="578" ht="15.75" customHeight="1">
      <c r="D578" s="8"/>
      <c r="E578" s="8"/>
      <c r="F578" s="8"/>
      <c r="G578" s="8"/>
      <c r="H578" s="8"/>
      <c r="I578" s="8"/>
      <c r="J578" s="8"/>
      <c r="K578" s="8"/>
      <c r="M578" s="8"/>
      <c r="N578" s="8"/>
    </row>
    <row r="579" ht="15.75" customHeight="1">
      <c r="D579" s="8"/>
      <c r="E579" s="8"/>
      <c r="F579" s="8"/>
      <c r="G579" s="8"/>
      <c r="H579" s="8"/>
      <c r="I579" s="8"/>
      <c r="J579" s="8"/>
      <c r="K579" s="8"/>
      <c r="M579" s="8"/>
      <c r="N579" s="8"/>
    </row>
    <row r="580" ht="15.75" customHeight="1">
      <c r="D580" s="8"/>
      <c r="E580" s="8"/>
      <c r="F580" s="8"/>
      <c r="G580" s="8"/>
      <c r="H580" s="8"/>
      <c r="I580" s="8"/>
      <c r="J580" s="8"/>
      <c r="K580" s="8"/>
      <c r="M580" s="8"/>
      <c r="N580" s="8"/>
    </row>
    <row r="581" ht="15.75" customHeight="1">
      <c r="D581" s="8"/>
      <c r="E581" s="8"/>
      <c r="F581" s="8"/>
      <c r="G581" s="8"/>
      <c r="H581" s="8"/>
      <c r="I581" s="8"/>
      <c r="J581" s="8"/>
      <c r="K581" s="8"/>
      <c r="M581" s="8"/>
      <c r="N581" s="8"/>
    </row>
    <row r="582" ht="15.75" customHeight="1">
      <c r="D582" s="8"/>
      <c r="E582" s="8"/>
      <c r="F582" s="8"/>
      <c r="G582" s="8"/>
      <c r="H582" s="8"/>
      <c r="I582" s="8"/>
      <c r="J582" s="8"/>
      <c r="K582" s="8"/>
      <c r="M582" s="8"/>
      <c r="N582" s="8"/>
    </row>
    <row r="583" ht="15.75" customHeight="1">
      <c r="D583" s="8"/>
      <c r="E583" s="8"/>
      <c r="F583" s="8"/>
      <c r="G583" s="8"/>
      <c r="H583" s="8"/>
      <c r="I583" s="8"/>
      <c r="J583" s="8"/>
      <c r="K583" s="8"/>
      <c r="M583" s="8"/>
      <c r="N583" s="8"/>
    </row>
    <row r="584" ht="15.75" customHeight="1">
      <c r="D584" s="8"/>
      <c r="E584" s="8"/>
      <c r="F584" s="8"/>
      <c r="G584" s="8"/>
      <c r="H584" s="8"/>
      <c r="I584" s="8"/>
      <c r="J584" s="8"/>
      <c r="K584" s="8"/>
      <c r="M584" s="8"/>
      <c r="N584" s="8"/>
    </row>
    <row r="585" ht="15.75" customHeight="1">
      <c r="D585" s="8"/>
      <c r="E585" s="8"/>
      <c r="F585" s="8"/>
      <c r="G585" s="8"/>
      <c r="H585" s="8"/>
      <c r="I585" s="8"/>
      <c r="J585" s="8"/>
      <c r="K585" s="8"/>
      <c r="M585" s="8"/>
      <c r="N585" s="8"/>
    </row>
    <row r="586" ht="15.75" customHeight="1">
      <c r="D586" s="8"/>
      <c r="E586" s="8"/>
      <c r="F586" s="8"/>
      <c r="G586" s="8"/>
      <c r="H586" s="8"/>
      <c r="I586" s="8"/>
      <c r="J586" s="8"/>
      <c r="K586" s="8"/>
      <c r="M586" s="8"/>
      <c r="N586" s="8"/>
    </row>
    <row r="587" ht="15.75" customHeight="1">
      <c r="D587" s="8"/>
      <c r="E587" s="8"/>
      <c r="F587" s="8"/>
      <c r="G587" s="8"/>
      <c r="H587" s="8"/>
      <c r="I587" s="8"/>
      <c r="J587" s="8"/>
      <c r="K587" s="8"/>
      <c r="M587" s="8"/>
      <c r="N587" s="8"/>
    </row>
    <row r="588" ht="15.75" customHeight="1">
      <c r="D588" s="8"/>
      <c r="E588" s="8"/>
      <c r="F588" s="8"/>
      <c r="G588" s="8"/>
      <c r="H588" s="8"/>
      <c r="I588" s="8"/>
      <c r="J588" s="8"/>
      <c r="K588" s="8"/>
      <c r="M588" s="8"/>
      <c r="N588" s="8"/>
    </row>
    <row r="589" ht="15.75" customHeight="1">
      <c r="D589" s="8"/>
      <c r="E589" s="8"/>
      <c r="F589" s="8"/>
      <c r="G589" s="8"/>
      <c r="H589" s="8"/>
      <c r="I589" s="8"/>
      <c r="J589" s="8"/>
      <c r="K589" s="8"/>
      <c r="M589" s="8"/>
      <c r="N589" s="8"/>
    </row>
    <row r="590" ht="15.75" customHeight="1">
      <c r="D590" s="8"/>
      <c r="E590" s="8"/>
      <c r="F590" s="8"/>
      <c r="G590" s="8"/>
      <c r="H590" s="8"/>
      <c r="I590" s="8"/>
      <c r="J590" s="8"/>
      <c r="K590" s="8"/>
      <c r="M590" s="8"/>
      <c r="N590" s="8"/>
    </row>
    <row r="591" ht="15.75" customHeight="1">
      <c r="D591" s="8"/>
      <c r="E591" s="8"/>
      <c r="F591" s="8"/>
      <c r="G591" s="8"/>
      <c r="H591" s="8"/>
      <c r="I591" s="8"/>
      <c r="J591" s="8"/>
      <c r="K591" s="8"/>
      <c r="M591" s="8"/>
      <c r="N591" s="8"/>
    </row>
    <row r="592" ht="15.75" customHeight="1">
      <c r="D592" s="8"/>
      <c r="E592" s="8"/>
      <c r="F592" s="8"/>
      <c r="G592" s="8"/>
      <c r="H592" s="8"/>
      <c r="I592" s="8"/>
      <c r="J592" s="8"/>
      <c r="K592" s="8"/>
      <c r="M592" s="8"/>
      <c r="N592" s="8"/>
    </row>
    <row r="593" ht="15.75" customHeight="1">
      <c r="D593" s="8"/>
      <c r="E593" s="8"/>
      <c r="F593" s="8"/>
      <c r="G593" s="8"/>
      <c r="H593" s="8"/>
      <c r="I593" s="8"/>
      <c r="J593" s="8"/>
      <c r="K593" s="8"/>
      <c r="M593" s="8"/>
      <c r="N593" s="8"/>
    </row>
    <row r="594" ht="15.75" customHeight="1">
      <c r="D594" s="8"/>
      <c r="E594" s="8"/>
      <c r="F594" s="8"/>
      <c r="G594" s="8"/>
      <c r="H594" s="8"/>
      <c r="I594" s="8"/>
      <c r="J594" s="8"/>
      <c r="K594" s="8"/>
      <c r="M594" s="8"/>
      <c r="N594" s="8"/>
    </row>
    <row r="595" ht="15.75" customHeight="1">
      <c r="D595" s="8"/>
      <c r="E595" s="8"/>
      <c r="F595" s="8"/>
      <c r="G595" s="8"/>
      <c r="H595" s="8"/>
      <c r="I595" s="8"/>
      <c r="J595" s="8"/>
      <c r="K595" s="8"/>
      <c r="M595" s="8"/>
      <c r="N595" s="8"/>
    </row>
    <row r="596" ht="15.75" customHeight="1">
      <c r="D596" s="8"/>
      <c r="E596" s="8"/>
      <c r="F596" s="8"/>
      <c r="G596" s="8"/>
      <c r="H596" s="8"/>
      <c r="I596" s="8"/>
      <c r="J596" s="8"/>
      <c r="K596" s="8"/>
      <c r="M596" s="8"/>
      <c r="N596" s="8"/>
    </row>
    <row r="597" ht="15.75" customHeight="1">
      <c r="D597" s="8"/>
      <c r="E597" s="8"/>
      <c r="F597" s="8"/>
      <c r="G597" s="8"/>
      <c r="H597" s="8"/>
      <c r="I597" s="8"/>
      <c r="J597" s="8"/>
      <c r="K597" s="8"/>
      <c r="M597" s="8"/>
      <c r="N597" s="8"/>
    </row>
    <row r="598" ht="15.75" customHeight="1">
      <c r="D598" s="8"/>
      <c r="E598" s="8"/>
      <c r="F598" s="8"/>
      <c r="G598" s="8"/>
      <c r="H598" s="8"/>
      <c r="I598" s="8"/>
      <c r="J598" s="8"/>
      <c r="K598" s="8"/>
      <c r="M598" s="8"/>
      <c r="N598" s="8"/>
    </row>
    <row r="599" ht="15.75" customHeight="1">
      <c r="D599" s="8"/>
      <c r="E599" s="8"/>
      <c r="F599" s="8"/>
      <c r="G599" s="8"/>
      <c r="H599" s="8"/>
      <c r="I599" s="8"/>
      <c r="J599" s="8"/>
      <c r="K599" s="8"/>
      <c r="M599" s="8"/>
      <c r="N599" s="8"/>
    </row>
    <row r="600" ht="15.75" customHeight="1">
      <c r="D600" s="8"/>
      <c r="E600" s="8"/>
      <c r="F600" s="8"/>
      <c r="G600" s="8"/>
      <c r="H600" s="8"/>
      <c r="I600" s="8"/>
      <c r="J600" s="8"/>
      <c r="K600" s="8"/>
      <c r="M600" s="8"/>
      <c r="N600" s="8"/>
    </row>
    <row r="601" ht="15.75" customHeight="1">
      <c r="D601" s="8"/>
      <c r="E601" s="8"/>
      <c r="F601" s="8"/>
      <c r="G601" s="8"/>
      <c r="H601" s="8"/>
      <c r="I601" s="8"/>
      <c r="J601" s="8"/>
      <c r="K601" s="8"/>
      <c r="M601" s="8"/>
      <c r="N601" s="8"/>
    </row>
    <row r="602" ht="15.75" customHeight="1">
      <c r="D602" s="8"/>
      <c r="E602" s="8"/>
      <c r="F602" s="8"/>
      <c r="G602" s="8"/>
      <c r="H602" s="8"/>
      <c r="I602" s="8"/>
      <c r="J602" s="8"/>
      <c r="K602" s="8"/>
      <c r="M602" s="8"/>
      <c r="N602" s="8"/>
    </row>
    <row r="603" ht="15.75" customHeight="1">
      <c r="D603" s="8"/>
      <c r="E603" s="8"/>
      <c r="F603" s="8"/>
      <c r="G603" s="8"/>
      <c r="H603" s="8"/>
      <c r="I603" s="8"/>
      <c r="J603" s="8"/>
      <c r="K603" s="8"/>
      <c r="M603" s="8"/>
      <c r="N603" s="8"/>
    </row>
    <row r="604" ht="15.75" customHeight="1">
      <c r="D604" s="8"/>
      <c r="E604" s="8"/>
      <c r="F604" s="8"/>
      <c r="G604" s="8"/>
      <c r="H604" s="8"/>
      <c r="I604" s="8"/>
      <c r="J604" s="8"/>
      <c r="K604" s="8"/>
      <c r="M604" s="8"/>
      <c r="N604" s="8"/>
    </row>
    <row r="605" ht="15.75" customHeight="1">
      <c r="D605" s="8"/>
      <c r="E605" s="8"/>
      <c r="F605" s="8"/>
      <c r="G605" s="8"/>
      <c r="H605" s="8"/>
      <c r="I605" s="8"/>
      <c r="J605" s="8"/>
      <c r="K605" s="8"/>
      <c r="M605" s="8"/>
      <c r="N605" s="8"/>
    </row>
    <row r="606" ht="15.75" customHeight="1">
      <c r="D606" s="8"/>
      <c r="E606" s="8"/>
      <c r="F606" s="8"/>
      <c r="G606" s="8"/>
      <c r="H606" s="8"/>
      <c r="I606" s="8"/>
      <c r="J606" s="8"/>
      <c r="K606" s="8"/>
      <c r="M606" s="8"/>
      <c r="N606" s="8"/>
    </row>
    <row r="607" ht="15.75" customHeight="1">
      <c r="D607" s="8"/>
      <c r="E607" s="8"/>
      <c r="F607" s="8"/>
      <c r="G607" s="8"/>
      <c r="H607" s="8"/>
      <c r="I607" s="8"/>
      <c r="J607" s="8"/>
      <c r="K607" s="8"/>
      <c r="M607" s="8"/>
      <c r="N607" s="8"/>
    </row>
    <row r="608" ht="15.75" customHeight="1">
      <c r="D608" s="8"/>
      <c r="E608" s="8"/>
      <c r="F608" s="8"/>
      <c r="G608" s="8"/>
      <c r="H608" s="8"/>
      <c r="I608" s="8"/>
      <c r="J608" s="8"/>
      <c r="K608" s="8"/>
      <c r="M608" s="8"/>
      <c r="N608" s="8"/>
    </row>
    <row r="609" ht="15.75" customHeight="1">
      <c r="D609" s="8"/>
      <c r="E609" s="8"/>
      <c r="F609" s="8"/>
      <c r="G609" s="8"/>
      <c r="H609" s="8"/>
      <c r="I609" s="8"/>
      <c r="J609" s="8"/>
      <c r="K609" s="8"/>
      <c r="M609" s="8"/>
      <c r="N609" s="8"/>
    </row>
    <row r="610" ht="15.75" customHeight="1">
      <c r="D610" s="8"/>
      <c r="E610" s="8"/>
      <c r="F610" s="8"/>
      <c r="G610" s="8"/>
      <c r="H610" s="8"/>
      <c r="I610" s="8"/>
      <c r="J610" s="8"/>
      <c r="K610" s="8"/>
      <c r="M610" s="8"/>
      <c r="N610" s="8"/>
    </row>
    <row r="611" ht="15.75" customHeight="1">
      <c r="D611" s="8"/>
      <c r="E611" s="8"/>
      <c r="F611" s="8"/>
      <c r="G611" s="8"/>
      <c r="H611" s="8"/>
      <c r="I611" s="8"/>
      <c r="J611" s="8"/>
      <c r="K611" s="8"/>
      <c r="M611" s="8"/>
      <c r="N611" s="8"/>
    </row>
    <row r="612" ht="15.75" customHeight="1">
      <c r="D612" s="8"/>
      <c r="E612" s="8"/>
      <c r="F612" s="8"/>
      <c r="G612" s="8"/>
      <c r="H612" s="8"/>
      <c r="I612" s="8"/>
      <c r="J612" s="8"/>
      <c r="K612" s="8"/>
      <c r="M612" s="8"/>
      <c r="N612" s="8"/>
    </row>
    <row r="613" ht="15.75" customHeight="1">
      <c r="D613" s="8"/>
      <c r="E613" s="8"/>
      <c r="F613" s="8"/>
      <c r="G613" s="8"/>
      <c r="H613" s="8"/>
      <c r="I613" s="8"/>
      <c r="J613" s="8"/>
      <c r="K613" s="8"/>
      <c r="M613" s="8"/>
      <c r="N613" s="8"/>
    </row>
    <row r="614" ht="15.75" customHeight="1">
      <c r="D614" s="8"/>
      <c r="E614" s="8"/>
      <c r="F614" s="8"/>
      <c r="G614" s="8"/>
      <c r="H614" s="8"/>
      <c r="I614" s="8"/>
      <c r="J614" s="8"/>
      <c r="K614" s="8"/>
      <c r="M614" s="8"/>
      <c r="N614" s="8"/>
    </row>
    <row r="615" ht="15.75" customHeight="1">
      <c r="D615" s="8"/>
      <c r="E615" s="8"/>
      <c r="F615" s="8"/>
      <c r="G615" s="8"/>
      <c r="H615" s="8"/>
      <c r="I615" s="8"/>
      <c r="J615" s="8"/>
      <c r="K615" s="8"/>
      <c r="M615" s="8"/>
      <c r="N615" s="8"/>
    </row>
    <row r="616" ht="15.75" customHeight="1">
      <c r="D616" s="8"/>
      <c r="E616" s="8"/>
      <c r="F616" s="8"/>
      <c r="G616" s="8"/>
      <c r="H616" s="8"/>
      <c r="I616" s="8"/>
      <c r="J616" s="8"/>
      <c r="K616" s="8"/>
      <c r="M616" s="8"/>
      <c r="N616" s="8"/>
    </row>
    <row r="617" ht="15.75" customHeight="1">
      <c r="D617" s="8"/>
      <c r="E617" s="8"/>
      <c r="F617" s="8"/>
      <c r="G617" s="8"/>
      <c r="H617" s="8"/>
      <c r="I617" s="8"/>
      <c r="J617" s="8"/>
      <c r="K617" s="8"/>
      <c r="M617" s="8"/>
      <c r="N617" s="8"/>
    </row>
    <row r="618" ht="15.75" customHeight="1">
      <c r="D618" s="8"/>
      <c r="E618" s="8"/>
      <c r="F618" s="8"/>
      <c r="G618" s="8"/>
      <c r="H618" s="8"/>
      <c r="I618" s="8"/>
      <c r="J618" s="8"/>
      <c r="K618" s="8"/>
      <c r="M618" s="8"/>
      <c r="N618" s="8"/>
    </row>
    <row r="619" ht="15.75" customHeight="1">
      <c r="D619" s="8"/>
      <c r="E619" s="8"/>
      <c r="F619" s="8"/>
      <c r="G619" s="8"/>
      <c r="H619" s="8"/>
      <c r="I619" s="8"/>
      <c r="J619" s="8"/>
      <c r="K619" s="8"/>
      <c r="M619" s="8"/>
      <c r="N619" s="8"/>
    </row>
    <row r="620" ht="15.75" customHeight="1">
      <c r="D620" s="8"/>
      <c r="E620" s="8"/>
      <c r="F620" s="8"/>
      <c r="G620" s="8"/>
      <c r="H620" s="8"/>
      <c r="I620" s="8"/>
      <c r="J620" s="8"/>
      <c r="K620" s="8"/>
      <c r="M620" s="8"/>
      <c r="N620" s="8"/>
    </row>
    <row r="621" ht="15.75" customHeight="1">
      <c r="D621" s="8"/>
      <c r="E621" s="8"/>
      <c r="F621" s="8"/>
      <c r="G621" s="8"/>
      <c r="H621" s="8"/>
      <c r="I621" s="8"/>
      <c r="J621" s="8"/>
      <c r="K621" s="8"/>
      <c r="M621" s="8"/>
      <c r="N621" s="8"/>
    </row>
    <row r="622" ht="15.75" customHeight="1">
      <c r="D622" s="8"/>
      <c r="E622" s="8"/>
      <c r="F622" s="8"/>
      <c r="G622" s="8"/>
      <c r="H622" s="8"/>
      <c r="I622" s="8"/>
      <c r="J622" s="8"/>
      <c r="K622" s="8"/>
      <c r="M622" s="8"/>
      <c r="N622" s="8"/>
    </row>
    <row r="623" ht="15.75" customHeight="1">
      <c r="D623" s="8"/>
      <c r="E623" s="8"/>
      <c r="F623" s="8"/>
      <c r="G623" s="8"/>
      <c r="H623" s="8"/>
      <c r="I623" s="8"/>
      <c r="J623" s="8"/>
      <c r="K623" s="8"/>
      <c r="M623" s="8"/>
      <c r="N623" s="8"/>
    </row>
    <row r="624" ht="15.75" customHeight="1">
      <c r="D624" s="8"/>
      <c r="E624" s="8"/>
      <c r="F624" s="8"/>
      <c r="G624" s="8"/>
      <c r="H624" s="8"/>
      <c r="I624" s="8"/>
      <c r="J624" s="8"/>
      <c r="K624" s="8"/>
      <c r="M624" s="8"/>
      <c r="N624" s="8"/>
    </row>
    <row r="625" ht="15.75" customHeight="1">
      <c r="D625" s="8"/>
      <c r="E625" s="8"/>
      <c r="F625" s="8"/>
      <c r="G625" s="8"/>
      <c r="H625" s="8"/>
      <c r="I625" s="8"/>
      <c r="J625" s="8"/>
      <c r="K625" s="8"/>
      <c r="M625" s="8"/>
      <c r="N625" s="8"/>
    </row>
    <row r="626" ht="15.75" customHeight="1">
      <c r="D626" s="8"/>
      <c r="E626" s="8"/>
      <c r="F626" s="8"/>
      <c r="G626" s="8"/>
      <c r="H626" s="8"/>
      <c r="I626" s="8"/>
      <c r="J626" s="8"/>
      <c r="K626" s="8"/>
      <c r="M626" s="8"/>
      <c r="N626" s="8"/>
    </row>
    <row r="627" ht="15.75" customHeight="1">
      <c r="D627" s="8"/>
      <c r="E627" s="8"/>
      <c r="F627" s="8"/>
      <c r="G627" s="8"/>
      <c r="H627" s="8"/>
      <c r="I627" s="8"/>
      <c r="J627" s="8"/>
      <c r="K627" s="8"/>
      <c r="M627" s="8"/>
      <c r="N627" s="8"/>
    </row>
    <row r="628" ht="15.75" customHeight="1">
      <c r="D628" s="8"/>
      <c r="E628" s="8"/>
      <c r="F628" s="8"/>
      <c r="G628" s="8"/>
      <c r="H628" s="8"/>
      <c r="I628" s="8"/>
      <c r="J628" s="8"/>
      <c r="K628" s="8"/>
      <c r="M628" s="8"/>
      <c r="N628" s="8"/>
    </row>
    <row r="629" ht="15.75" customHeight="1">
      <c r="D629" s="8"/>
      <c r="E629" s="8"/>
      <c r="F629" s="8"/>
      <c r="G629" s="8"/>
      <c r="H629" s="8"/>
      <c r="I629" s="8"/>
      <c r="J629" s="8"/>
      <c r="K629" s="8"/>
      <c r="M629" s="8"/>
      <c r="N629" s="8"/>
    </row>
    <row r="630" ht="15.75" customHeight="1">
      <c r="D630" s="8"/>
      <c r="E630" s="8"/>
      <c r="F630" s="8"/>
      <c r="G630" s="8"/>
      <c r="H630" s="8"/>
      <c r="I630" s="8"/>
      <c r="J630" s="8"/>
      <c r="K630" s="8"/>
      <c r="M630" s="8"/>
      <c r="N630" s="8"/>
    </row>
    <row r="631" ht="15.75" customHeight="1">
      <c r="D631" s="8"/>
      <c r="E631" s="8"/>
      <c r="F631" s="8"/>
      <c r="G631" s="8"/>
      <c r="H631" s="8"/>
      <c r="I631" s="8"/>
      <c r="J631" s="8"/>
      <c r="K631" s="8"/>
      <c r="M631" s="8"/>
      <c r="N631" s="8"/>
    </row>
    <row r="632" ht="15.75" customHeight="1">
      <c r="D632" s="8"/>
      <c r="E632" s="8"/>
      <c r="F632" s="8"/>
      <c r="G632" s="8"/>
      <c r="H632" s="8"/>
      <c r="I632" s="8"/>
      <c r="J632" s="8"/>
      <c r="K632" s="8"/>
      <c r="M632" s="8"/>
      <c r="N632" s="8"/>
    </row>
    <row r="633" ht="15.75" customHeight="1">
      <c r="D633" s="8"/>
      <c r="E633" s="8"/>
      <c r="F633" s="8"/>
      <c r="G633" s="8"/>
      <c r="H633" s="8"/>
      <c r="I633" s="8"/>
      <c r="J633" s="8"/>
      <c r="K633" s="8"/>
      <c r="M633" s="8"/>
      <c r="N633" s="8"/>
    </row>
    <row r="634" ht="15.75" customHeight="1">
      <c r="D634" s="8"/>
      <c r="E634" s="8"/>
      <c r="F634" s="8"/>
      <c r="G634" s="8"/>
      <c r="H634" s="8"/>
      <c r="I634" s="8"/>
      <c r="J634" s="8"/>
      <c r="K634" s="8"/>
      <c r="M634" s="8"/>
      <c r="N634" s="8"/>
    </row>
    <row r="635" ht="15.75" customHeight="1">
      <c r="D635" s="8"/>
      <c r="E635" s="8"/>
      <c r="F635" s="8"/>
      <c r="G635" s="8"/>
      <c r="H635" s="8"/>
      <c r="I635" s="8"/>
      <c r="J635" s="8"/>
      <c r="K635" s="8"/>
      <c r="M635" s="8"/>
      <c r="N635" s="8"/>
    </row>
    <row r="636" ht="15.75" customHeight="1">
      <c r="D636" s="8"/>
      <c r="E636" s="8"/>
      <c r="F636" s="8"/>
      <c r="G636" s="8"/>
      <c r="H636" s="8"/>
      <c r="I636" s="8"/>
      <c r="J636" s="8"/>
      <c r="K636" s="8"/>
      <c r="M636" s="8"/>
      <c r="N636" s="8"/>
    </row>
    <row r="637" ht="15.75" customHeight="1">
      <c r="D637" s="8"/>
      <c r="E637" s="8"/>
      <c r="F637" s="8"/>
      <c r="G637" s="8"/>
      <c r="H637" s="8"/>
      <c r="I637" s="8"/>
      <c r="J637" s="8"/>
      <c r="K637" s="8"/>
      <c r="M637" s="8"/>
      <c r="N637" s="8"/>
    </row>
    <row r="638" ht="15.75" customHeight="1">
      <c r="D638" s="8"/>
      <c r="E638" s="8"/>
      <c r="F638" s="8"/>
      <c r="G638" s="8"/>
      <c r="H638" s="8"/>
      <c r="I638" s="8"/>
      <c r="J638" s="8"/>
      <c r="K638" s="8"/>
      <c r="M638" s="8"/>
      <c r="N638" s="8"/>
    </row>
    <row r="639" ht="15.75" customHeight="1">
      <c r="D639" s="8"/>
      <c r="E639" s="8"/>
      <c r="F639" s="8"/>
      <c r="G639" s="8"/>
      <c r="H639" s="8"/>
      <c r="I639" s="8"/>
      <c r="J639" s="8"/>
      <c r="K639" s="8"/>
      <c r="M639" s="8"/>
      <c r="N639" s="8"/>
    </row>
    <row r="640" ht="15.75" customHeight="1">
      <c r="D640" s="8"/>
      <c r="E640" s="8"/>
      <c r="F640" s="8"/>
      <c r="G640" s="8"/>
      <c r="H640" s="8"/>
      <c r="I640" s="8"/>
      <c r="J640" s="8"/>
      <c r="K640" s="8"/>
      <c r="M640" s="8"/>
      <c r="N640" s="8"/>
    </row>
    <row r="641" ht="15.75" customHeight="1">
      <c r="D641" s="8"/>
      <c r="E641" s="8"/>
      <c r="F641" s="8"/>
      <c r="G641" s="8"/>
      <c r="H641" s="8"/>
      <c r="I641" s="8"/>
      <c r="J641" s="8"/>
      <c r="K641" s="8"/>
      <c r="M641" s="8"/>
      <c r="N641" s="8"/>
    </row>
    <row r="642" ht="15.75" customHeight="1">
      <c r="D642" s="8"/>
      <c r="E642" s="8"/>
      <c r="F642" s="8"/>
      <c r="G642" s="8"/>
      <c r="H642" s="8"/>
      <c r="I642" s="8"/>
      <c r="J642" s="8"/>
      <c r="K642" s="8"/>
      <c r="M642" s="8"/>
      <c r="N642" s="8"/>
    </row>
    <row r="643" ht="15.75" customHeight="1">
      <c r="D643" s="8"/>
      <c r="E643" s="8"/>
      <c r="F643" s="8"/>
      <c r="G643" s="8"/>
      <c r="H643" s="8"/>
      <c r="I643" s="8"/>
      <c r="J643" s="8"/>
      <c r="K643" s="8"/>
      <c r="M643" s="8"/>
      <c r="N643" s="8"/>
    </row>
    <row r="644" ht="15.75" customHeight="1">
      <c r="D644" s="8"/>
      <c r="E644" s="8"/>
      <c r="F644" s="8"/>
      <c r="G644" s="8"/>
      <c r="H644" s="8"/>
      <c r="I644" s="8"/>
      <c r="J644" s="8"/>
      <c r="K644" s="8"/>
      <c r="M644" s="8"/>
      <c r="N644" s="8"/>
    </row>
    <row r="645" ht="15.75" customHeight="1">
      <c r="D645" s="8"/>
      <c r="E645" s="8"/>
      <c r="F645" s="8"/>
      <c r="G645" s="8"/>
      <c r="H645" s="8"/>
      <c r="I645" s="8"/>
      <c r="J645" s="8"/>
      <c r="K645" s="8"/>
      <c r="M645" s="8"/>
      <c r="N645" s="8"/>
    </row>
    <row r="646" ht="15.75" customHeight="1">
      <c r="D646" s="8"/>
      <c r="E646" s="8"/>
      <c r="F646" s="8"/>
      <c r="G646" s="8"/>
      <c r="H646" s="8"/>
      <c r="I646" s="8"/>
      <c r="J646" s="8"/>
      <c r="K646" s="8"/>
      <c r="M646" s="8"/>
      <c r="N646" s="8"/>
    </row>
    <row r="647" ht="15.75" customHeight="1">
      <c r="D647" s="8"/>
      <c r="E647" s="8"/>
      <c r="F647" s="8"/>
      <c r="G647" s="8"/>
      <c r="H647" s="8"/>
      <c r="I647" s="8"/>
      <c r="J647" s="8"/>
      <c r="K647" s="8"/>
      <c r="M647" s="8"/>
      <c r="N647" s="8"/>
    </row>
    <row r="648" ht="15.75" customHeight="1">
      <c r="D648" s="8"/>
      <c r="E648" s="8"/>
      <c r="F648" s="8"/>
      <c r="G648" s="8"/>
      <c r="H648" s="8"/>
      <c r="I648" s="8"/>
      <c r="J648" s="8"/>
      <c r="K648" s="8"/>
      <c r="M648" s="8"/>
      <c r="N648" s="8"/>
    </row>
    <row r="649" ht="15.75" customHeight="1">
      <c r="D649" s="8"/>
      <c r="E649" s="8"/>
      <c r="F649" s="8"/>
      <c r="G649" s="8"/>
      <c r="H649" s="8"/>
      <c r="I649" s="8"/>
      <c r="J649" s="8"/>
      <c r="K649" s="8"/>
      <c r="M649" s="8"/>
      <c r="N649" s="8"/>
    </row>
    <row r="650" ht="15.75" customHeight="1">
      <c r="D650" s="8"/>
      <c r="E650" s="8"/>
      <c r="F650" s="8"/>
      <c r="G650" s="8"/>
      <c r="H650" s="8"/>
      <c r="I650" s="8"/>
      <c r="J650" s="8"/>
      <c r="K650" s="8"/>
      <c r="M650" s="8"/>
      <c r="N650" s="8"/>
    </row>
    <row r="651" ht="15.75" customHeight="1">
      <c r="D651" s="8"/>
      <c r="E651" s="8"/>
      <c r="F651" s="8"/>
      <c r="G651" s="8"/>
      <c r="H651" s="8"/>
      <c r="I651" s="8"/>
      <c r="J651" s="8"/>
      <c r="K651" s="8"/>
      <c r="M651" s="8"/>
      <c r="N651" s="8"/>
    </row>
    <row r="652" ht="15.75" customHeight="1">
      <c r="D652" s="8"/>
      <c r="E652" s="8"/>
      <c r="F652" s="8"/>
      <c r="G652" s="8"/>
      <c r="H652" s="8"/>
      <c r="I652" s="8"/>
      <c r="J652" s="8"/>
      <c r="K652" s="8"/>
      <c r="M652" s="8"/>
      <c r="N652" s="8"/>
    </row>
    <row r="653" ht="15.75" customHeight="1">
      <c r="D653" s="8"/>
      <c r="E653" s="8"/>
      <c r="F653" s="8"/>
      <c r="G653" s="8"/>
      <c r="H653" s="8"/>
      <c r="I653" s="8"/>
      <c r="J653" s="8"/>
      <c r="K653" s="8"/>
      <c r="M653" s="8"/>
      <c r="N653" s="8"/>
    </row>
    <row r="654" ht="15.75" customHeight="1">
      <c r="D654" s="8"/>
      <c r="E654" s="8"/>
      <c r="F654" s="8"/>
      <c r="G654" s="8"/>
      <c r="H654" s="8"/>
      <c r="I654" s="8"/>
      <c r="J654" s="8"/>
      <c r="K654" s="8"/>
      <c r="M654" s="8"/>
      <c r="N654" s="8"/>
    </row>
    <row r="655" ht="15.75" customHeight="1">
      <c r="D655" s="8"/>
      <c r="E655" s="8"/>
      <c r="F655" s="8"/>
      <c r="G655" s="8"/>
      <c r="H655" s="8"/>
      <c r="I655" s="8"/>
      <c r="J655" s="8"/>
      <c r="K655" s="8"/>
      <c r="M655" s="8"/>
      <c r="N655" s="8"/>
    </row>
    <row r="656" ht="15.75" customHeight="1">
      <c r="D656" s="8"/>
      <c r="E656" s="8"/>
      <c r="F656" s="8"/>
      <c r="G656" s="8"/>
      <c r="H656" s="8"/>
      <c r="I656" s="8"/>
      <c r="J656" s="8"/>
      <c r="K656" s="8"/>
      <c r="M656" s="8"/>
      <c r="N656" s="8"/>
    </row>
    <row r="657" ht="15.75" customHeight="1">
      <c r="D657" s="8"/>
      <c r="E657" s="8"/>
      <c r="F657" s="8"/>
      <c r="G657" s="8"/>
      <c r="H657" s="8"/>
      <c r="I657" s="8"/>
      <c r="J657" s="8"/>
      <c r="K657" s="8"/>
      <c r="M657" s="8"/>
      <c r="N657" s="8"/>
    </row>
    <row r="658" ht="15.75" customHeight="1">
      <c r="D658" s="8"/>
      <c r="E658" s="8"/>
      <c r="F658" s="8"/>
      <c r="G658" s="8"/>
      <c r="H658" s="8"/>
      <c r="I658" s="8"/>
      <c r="J658" s="8"/>
      <c r="K658" s="8"/>
      <c r="M658" s="8"/>
      <c r="N658" s="8"/>
    </row>
    <row r="659" ht="15.75" customHeight="1">
      <c r="D659" s="8"/>
      <c r="E659" s="8"/>
      <c r="F659" s="8"/>
      <c r="G659" s="8"/>
      <c r="H659" s="8"/>
      <c r="I659" s="8"/>
      <c r="J659" s="8"/>
      <c r="K659" s="8"/>
      <c r="M659" s="8"/>
      <c r="N659" s="8"/>
    </row>
    <row r="660" ht="15.75" customHeight="1">
      <c r="D660" s="8"/>
      <c r="E660" s="8"/>
      <c r="F660" s="8"/>
      <c r="G660" s="8"/>
      <c r="H660" s="8"/>
      <c r="I660" s="8"/>
      <c r="J660" s="8"/>
      <c r="K660" s="8"/>
      <c r="M660" s="8"/>
      <c r="N660" s="8"/>
    </row>
    <row r="661" ht="15.75" customHeight="1">
      <c r="D661" s="8"/>
      <c r="E661" s="8"/>
      <c r="F661" s="8"/>
      <c r="G661" s="8"/>
      <c r="H661" s="8"/>
      <c r="I661" s="8"/>
      <c r="J661" s="8"/>
      <c r="K661" s="8"/>
      <c r="M661" s="8"/>
      <c r="N661" s="8"/>
    </row>
    <row r="662" ht="15.75" customHeight="1">
      <c r="D662" s="8"/>
      <c r="E662" s="8"/>
      <c r="F662" s="8"/>
      <c r="G662" s="8"/>
      <c r="H662" s="8"/>
      <c r="I662" s="8"/>
      <c r="J662" s="8"/>
      <c r="K662" s="8"/>
      <c r="M662" s="8"/>
      <c r="N662" s="8"/>
    </row>
    <row r="663" ht="15.75" customHeight="1">
      <c r="D663" s="8"/>
      <c r="E663" s="8"/>
      <c r="F663" s="8"/>
      <c r="G663" s="8"/>
      <c r="H663" s="8"/>
      <c r="I663" s="8"/>
      <c r="J663" s="8"/>
      <c r="K663" s="8"/>
      <c r="M663" s="8"/>
      <c r="N663" s="8"/>
    </row>
    <row r="664" ht="15.75" customHeight="1">
      <c r="D664" s="8"/>
      <c r="E664" s="8"/>
      <c r="F664" s="8"/>
      <c r="G664" s="8"/>
      <c r="H664" s="8"/>
      <c r="I664" s="8"/>
      <c r="J664" s="8"/>
      <c r="K664" s="8"/>
      <c r="M664" s="8"/>
      <c r="N664" s="8"/>
    </row>
    <row r="665" ht="15.75" customHeight="1">
      <c r="D665" s="8"/>
      <c r="E665" s="8"/>
      <c r="F665" s="8"/>
      <c r="G665" s="8"/>
      <c r="H665" s="8"/>
      <c r="I665" s="8"/>
      <c r="J665" s="8"/>
      <c r="K665" s="8"/>
      <c r="M665" s="8"/>
      <c r="N665" s="8"/>
    </row>
    <row r="666" ht="15.75" customHeight="1">
      <c r="D666" s="8"/>
      <c r="E666" s="8"/>
      <c r="F666" s="8"/>
      <c r="G666" s="8"/>
      <c r="H666" s="8"/>
      <c r="I666" s="8"/>
      <c r="J666" s="8"/>
      <c r="K666" s="8"/>
      <c r="M666" s="8"/>
      <c r="N666" s="8"/>
    </row>
    <row r="667" ht="15.75" customHeight="1">
      <c r="D667" s="8"/>
      <c r="E667" s="8"/>
      <c r="F667" s="8"/>
      <c r="G667" s="8"/>
      <c r="H667" s="8"/>
      <c r="I667" s="8"/>
      <c r="J667" s="8"/>
      <c r="K667" s="8"/>
      <c r="M667" s="8"/>
      <c r="N667" s="8"/>
    </row>
    <row r="668" ht="15.75" customHeight="1">
      <c r="D668" s="8"/>
      <c r="E668" s="8"/>
      <c r="F668" s="8"/>
      <c r="G668" s="8"/>
      <c r="H668" s="8"/>
      <c r="I668" s="8"/>
      <c r="J668" s="8"/>
      <c r="K668" s="8"/>
      <c r="M668" s="8"/>
      <c r="N668" s="8"/>
    </row>
    <row r="669" ht="15.75" customHeight="1">
      <c r="D669" s="8"/>
      <c r="E669" s="8"/>
      <c r="F669" s="8"/>
      <c r="G669" s="8"/>
      <c r="H669" s="8"/>
      <c r="I669" s="8"/>
      <c r="J669" s="8"/>
      <c r="K669" s="8"/>
      <c r="M669" s="8"/>
      <c r="N669" s="8"/>
    </row>
    <row r="670" ht="15.75" customHeight="1">
      <c r="D670" s="8"/>
      <c r="E670" s="8"/>
      <c r="F670" s="8"/>
      <c r="G670" s="8"/>
      <c r="H670" s="8"/>
      <c r="I670" s="8"/>
      <c r="J670" s="8"/>
      <c r="K670" s="8"/>
      <c r="M670" s="8"/>
      <c r="N670" s="8"/>
    </row>
    <row r="671" ht="15.75" customHeight="1">
      <c r="D671" s="8"/>
      <c r="E671" s="8"/>
      <c r="F671" s="8"/>
      <c r="G671" s="8"/>
      <c r="H671" s="8"/>
      <c r="I671" s="8"/>
      <c r="J671" s="8"/>
      <c r="K671" s="8"/>
      <c r="M671" s="8"/>
      <c r="N671" s="8"/>
    </row>
    <row r="672" ht="15.75" customHeight="1">
      <c r="D672" s="8"/>
      <c r="E672" s="8"/>
      <c r="F672" s="8"/>
      <c r="G672" s="8"/>
      <c r="H672" s="8"/>
      <c r="I672" s="8"/>
      <c r="J672" s="8"/>
      <c r="K672" s="8"/>
      <c r="M672" s="8"/>
      <c r="N672" s="8"/>
    </row>
    <row r="673" ht="15.75" customHeight="1">
      <c r="D673" s="8"/>
      <c r="E673" s="8"/>
      <c r="F673" s="8"/>
      <c r="G673" s="8"/>
      <c r="H673" s="8"/>
      <c r="I673" s="8"/>
      <c r="J673" s="8"/>
      <c r="K673" s="8"/>
      <c r="M673" s="8"/>
      <c r="N673" s="8"/>
    </row>
    <row r="674" ht="15.75" customHeight="1">
      <c r="D674" s="8"/>
      <c r="E674" s="8"/>
      <c r="F674" s="8"/>
      <c r="G674" s="8"/>
      <c r="H674" s="8"/>
      <c r="I674" s="8"/>
      <c r="J674" s="8"/>
      <c r="K674" s="8"/>
      <c r="M674" s="8"/>
      <c r="N674" s="8"/>
    </row>
    <row r="675" ht="15.75" customHeight="1">
      <c r="D675" s="8"/>
      <c r="E675" s="8"/>
      <c r="F675" s="8"/>
      <c r="G675" s="8"/>
      <c r="H675" s="8"/>
      <c r="I675" s="8"/>
      <c r="J675" s="8"/>
      <c r="K675" s="8"/>
      <c r="M675" s="8"/>
      <c r="N675" s="8"/>
    </row>
    <row r="676" ht="15.75" customHeight="1">
      <c r="D676" s="8"/>
      <c r="E676" s="8"/>
      <c r="F676" s="8"/>
      <c r="G676" s="8"/>
      <c r="H676" s="8"/>
      <c r="I676" s="8"/>
      <c r="J676" s="8"/>
      <c r="K676" s="8"/>
      <c r="M676" s="8"/>
      <c r="N676" s="8"/>
    </row>
    <row r="677" ht="15.75" customHeight="1">
      <c r="D677" s="8"/>
      <c r="E677" s="8"/>
      <c r="F677" s="8"/>
      <c r="G677" s="8"/>
      <c r="H677" s="8"/>
      <c r="I677" s="8"/>
      <c r="J677" s="8"/>
      <c r="K677" s="8"/>
      <c r="M677" s="8"/>
      <c r="N677" s="8"/>
    </row>
    <row r="678" ht="15.75" customHeight="1">
      <c r="D678" s="8"/>
      <c r="E678" s="8"/>
      <c r="F678" s="8"/>
      <c r="G678" s="8"/>
      <c r="H678" s="8"/>
      <c r="I678" s="8"/>
      <c r="J678" s="8"/>
      <c r="K678" s="8"/>
      <c r="M678" s="8"/>
      <c r="N678" s="8"/>
    </row>
    <row r="679" ht="15.75" customHeight="1">
      <c r="D679" s="8"/>
      <c r="E679" s="8"/>
      <c r="F679" s="8"/>
      <c r="G679" s="8"/>
      <c r="H679" s="8"/>
      <c r="I679" s="8"/>
      <c r="J679" s="8"/>
      <c r="K679" s="8"/>
      <c r="M679" s="8"/>
      <c r="N679" s="8"/>
    </row>
    <row r="680" ht="15.75" customHeight="1">
      <c r="D680" s="8"/>
      <c r="E680" s="8"/>
      <c r="F680" s="8"/>
      <c r="G680" s="8"/>
      <c r="H680" s="8"/>
      <c r="I680" s="8"/>
      <c r="J680" s="8"/>
      <c r="K680" s="8"/>
      <c r="M680" s="8"/>
      <c r="N680" s="8"/>
    </row>
    <row r="681" ht="15.75" customHeight="1">
      <c r="D681" s="8"/>
      <c r="E681" s="8"/>
      <c r="F681" s="8"/>
      <c r="G681" s="8"/>
      <c r="H681" s="8"/>
      <c r="I681" s="8"/>
      <c r="J681" s="8"/>
      <c r="K681" s="8"/>
      <c r="M681" s="8"/>
      <c r="N681" s="8"/>
    </row>
    <row r="682" ht="15.75" customHeight="1">
      <c r="D682" s="8"/>
      <c r="E682" s="8"/>
      <c r="F682" s="8"/>
      <c r="G682" s="8"/>
      <c r="H682" s="8"/>
      <c r="I682" s="8"/>
      <c r="J682" s="8"/>
      <c r="K682" s="8"/>
      <c r="M682" s="8"/>
      <c r="N682" s="8"/>
    </row>
    <row r="683" ht="15.75" customHeight="1">
      <c r="D683" s="8"/>
      <c r="E683" s="8"/>
      <c r="F683" s="8"/>
      <c r="G683" s="8"/>
      <c r="H683" s="8"/>
      <c r="I683" s="8"/>
      <c r="J683" s="8"/>
      <c r="K683" s="8"/>
      <c r="M683" s="8"/>
      <c r="N683" s="8"/>
    </row>
    <row r="684" ht="15.75" customHeight="1">
      <c r="D684" s="8"/>
      <c r="E684" s="8"/>
      <c r="F684" s="8"/>
      <c r="G684" s="8"/>
      <c r="H684" s="8"/>
      <c r="I684" s="8"/>
      <c r="J684" s="8"/>
      <c r="K684" s="8"/>
      <c r="M684" s="8"/>
      <c r="N684" s="8"/>
    </row>
    <row r="685" ht="15.75" customHeight="1">
      <c r="D685" s="8"/>
      <c r="E685" s="8"/>
      <c r="F685" s="8"/>
      <c r="G685" s="8"/>
      <c r="H685" s="8"/>
      <c r="I685" s="8"/>
      <c r="J685" s="8"/>
      <c r="K685" s="8"/>
      <c r="M685" s="8"/>
      <c r="N685" s="8"/>
    </row>
    <row r="686" ht="15.75" customHeight="1">
      <c r="D686" s="8"/>
      <c r="E686" s="8"/>
      <c r="F686" s="8"/>
      <c r="G686" s="8"/>
      <c r="H686" s="8"/>
      <c r="I686" s="8"/>
      <c r="J686" s="8"/>
      <c r="K686" s="8"/>
      <c r="M686" s="8"/>
      <c r="N686" s="8"/>
    </row>
    <row r="687" ht="15.75" customHeight="1">
      <c r="D687" s="8"/>
      <c r="E687" s="8"/>
      <c r="F687" s="8"/>
      <c r="G687" s="8"/>
      <c r="H687" s="8"/>
      <c r="I687" s="8"/>
      <c r="J687" s="8"/>
      <c r="K687" s="8"/>
      <c r="M687" s="8"/>
      <c r="N687" s="8"/>
    </row>
    <row r="688" ht="15.75" customHeight="1">
      <c r="D688" s="8"/>
      <c r="E688" s="8"/>
      <c r="F688" s="8"/>
      <c r="G688" s="8"/>
      <c r="H688" s="8"/>
      <c r="I688" s="8"/>
      <c r="J688" s="8"/>
      <c r="K688" s="8"/>
      <c r="M688" s="8"/>
      <c r="N688" s="8"/>
    </row>
    <row r="689" ht="15.75" customHeight="1">
      <c r="D689" s="8"/>
      <c r="E689" s="8"/>
      <c r="F689" s="8"/>
      <c r="G689" s="8"/>
      <c r="H689" s="8"/>
      <c r="I689" s="8"/>
      <c r="J689" s="8"/>
      <c r="K689" s="8"/>
      <c r="M689" s="8"/>
      <c r="N689" s="8"/>
    </row>
    <row r="690" ht="15.75" customHeight="1">
      <c r="D690" s="8"/>
      <c r="E690" s="8"/>
      <c r="F690" s="8"/>
      <c r="G690" s="8"/>
      <c r="H690" s="8"/>
      <c r="I690" s="8"/>
      <c r="J690" s="8"/>
      <c r="K690" s="8"/>
      <c r="M690" s="8"/>
      <c r="N690" s="8"/>
    </row>
    <row r="691" ht="15.75" customHeight="1">
      <c r="D691" s="8"/>
      <c r="E691" s="8"/>
      <c r="F691" s="8"/>
      <c r="G691" s="8"/>
      <c r="H691" s="8"/>
      <c r="I691" s="8"/>
      <c r="J691" s="8"/>
      <c r="K691" s="8"/>
      <c r="M691" s="8"/>
      <c r="N691" s="8"/>
    </row>
    <row r="692" ht="15.75" customHeight="1">
      <c r="D692" s="8"/>
      <c r="E692" s="8"/>
      <c r="F692" s="8"/>
      <c r="G692" s="8"/>
      <c r="H692" s="8"/>
      <c r="I692" s="8"/>
      <c r="J692" s="8"/>
      <c r="K692" s="8"/>
      <c r="M692" s="8"/>
      <c r="N692" s="8"/>
    </row>
    <row r="693" ht="15.75" customHeight="1">
      <c r="D693" s="8"/>
      <c r="E693" s="8"/>
      <c r="F693" s="8"/>
      <c r="G693" s="8"/>
      <c r="H693" s="8"/>
      <c r="I693" s="8"/>
      <c r="J693" s="8"/>
      <c r="K693" s="8"/>
      <c r="M693" s="8"/>
      <c r="N693" s="8"/>
    </row>
    <row r="694" ht="15.75" customHeight="1">
      <c r="D694" s="8"/>
      <c r="E694" s="8"/>
      <c r="F694" s="8"/>
      <c r="G694" s="8"/>
      <c r="H694" s="8"/>
      <c r="I694" s="8"/>
      <c r="J694" s="8"/>
      <c r="K694" s="8"/>
      <c r="M694" s="8"/>
      <c r="N694" s="8"/>
    </row>
    <row r="695" ht="15.75" customHeight="1">
      <c r="D695" s="8"/>
      <c r="E695" s="8"/>
      <c r="F695" s="8"/>
      <c r="G695" s="8"/>
      <c r="H695" s="8"/>
      <c r="I695" s="8"/>
      <c r="J695" s="8"/>
      <c r="K695" s="8"/>
      <c r="M695" s="8"/>
      <c r="N695" s="8"/>
    </row>
    <row r="696" ht="15.75" customHeight="1">
      <c r="D696" s="8"/>
      <c r="E696" s="8"/>
      <c r="F696" s="8"/>
      <c r="G696" s="8"/>
      <c r="H696" s="8"/>
      <c r="I696" s="8"/>
      <c r="J696" s="8"/>
      <c r="K696" s="8"/>
      <c r="M696" s="8"/>
      <c r="N696" s="8"/>
    </row>
    <row r="697" ht="15.75" customHeight="1">
      <c r="D697" s="8"/>
      <c r="E697" s="8"/>
      <c r="F697" s="8"/>
      <c r="G697" s="8"/>
      <c r="H697" s="8"/>
      <c r="I697" s="8"/>
      <c r="J697" s="8"/>
      <c r="K697" s="8"/>
      <c r="M697" s="8"/>
      <c r="N697" s="8"/>
    </row>
    <row r="698" ht="15.75" customHeight="1">
      <c r="D698" s="8"/>
      <c r="E698" s="8"/>
      <c r="F698" s="8"/>
      <c r="G698" s="8"/>
      <c r="H698" s="8"/>
      <c r="I698" s="8"/>
      <c r="J698" s="8"/>
      <c r="K698" s="8"/>
      <c r="M698" s="8"/>
      <c r="N698" s="8"/>
    </row>
    <row r="699" ht="15.75" customHeight="1">
      <c r="D699" s="8"/>
      <c r="E699" s="8"/>
      <c r="F699" s="8"/>
      <c r="G699" s="8"/>
      <c r="H699" s="8"/>
      <c r="I699" s="8"/>
      <c r="J699" s="8"/>
      <c r="K699" s="8"/>
      <c r="M699" s="8"/>
      <c r="N699" s="8"/>
    </row>
    <row r="700" ht="15.75" customHeight="1">
      <c r="D700" s="8"/>
      <c r="E700" s="8"/>
      <c r="F700" s="8"/>
      <c r="G700" s="8"/>
      <c r="H700" s="8"/>
      <c r="I700" s="8"/>
      <c r="J700" s="8"/>
      <c r="K700" s="8"/>
      <c r="M700" s="8"/>
      <c r="N700" s="8"/>
    </row>
    <row r="701" ht="15.75" customHeight="1">
      <c r="D701" s="8"/>
      <c r="E701" s="8"/>
      <c r="F701" s="8"/>
      <c r="G701" s="8"/>
      <c r="H701" s="8"/>
      <c r="I701" s="8"/>
      <c r="J701" s="8"/>
      <c r="K701" s="8"/>
      <c r="M701" s="8"/>
      <c r="N701" s="8"/>
    </row>
    <row r="702" ht="15.75" customHeight="1">
      <c r="D702" s="8"/>
      <c r="E702" s="8"/>
      <c r="F702" s="8"/>
      <c r="G702" s="8"/>
      <c r="H702" s="8"/>
      <c r="I702" s="8"/>
      <c r="J702" s="8"/>
      <c r="K702" s="8"/>
      <c r="M702" s="8"/>
      <c r="N702" s="8"/>
    </row>
    <row r="703" ht="15.75" customHeight="1">
      <c r="D703" s="8"/>
      <c r="E703" s="8"/>
      <c r="F703" s="8"/>
      <c r="G703" s="8"/>
      <c r="H703" s="8"/>
      <c r="I703" s="8"/>
      <c r="J703" s="8"/>
      <c r="K703" s="8"/>
      <c r="M703" s="8"/>
      <c r="N703" s="8"/>
    </row>
    <row r="704" ht="15.75" customHeight="1">
      <c r="D704" s="8"/>
      <c r="E704" s="8"/>
      <c r="F704" s="8"/>
      <c r="G704" s="8"/>
      <c r="H704" s="8"/>
      <c r="I704" s="8"/>
      <c r="J704" s="8"/>
      <c r="K704" s="8"/>
      <c r="M704" s="8"/>
      <c r="N704" s="8"/>
    </row>
    <row r="705" ht="15.75" customHeight="1">
      <c r="D705" s="8"/>
      <c r="E705" s="8"/>
      <c r="F705" s="8"/>
      <c r="G705" s="8"/>
      <c r="H705" s="8"/>
      <c r="I705" s="8"/>
      <c r="J705" s="8"/>
      <c r="K705" s="8"/>
      <c r="M705" s="8"/>
      <c r="N705" s="8"/>
    </row>
    <row r="706" ht="15.75" customHeight="1">
      <c r="D706" s="8"/>
      <c r="E706" s="8"/>
      <c r="F706" s="8"/>
      <c r="G706" s="8"/>
      <c r="H706" s="8"/>
      <c r="I706" s="8"/>
      <c r="J706" s="8"/>
      <c r="K706" s="8"/>
      <c r="M706" s="8"/>
      <c r="N706" s="8"/>
    </row>
    <row r="707" ht="15.75" customHeight="1">
      <c r="D707" s="8"/>
      <c r="E707" s="8"/>
      <c r="F707" s="8"/>
      <c r="G707" s="8"/>
      <c r="H707" s="8"/>
      <c r="I707" s="8"/>
      <c r="J707" s="8"/>
      <c r="K707" s="8"/>
      <c r="M707" s="8"/>
      <c r="N707" s="8"/>
    </row>
    <row r="708" ht="15.75" customHeight="1">
      <c r="D708" s="8"/>
      <c r="E708" s="8"/>
      <c r="F708" s="8"/>
      <c r="G708" s="8"/>
      <c r="H708" s="8"/>
      <c r="I708" s="8"/>
      <c r="J708" s="8"/>
      <c r="K708" s="8"/>
      <c r="M708" s="8"/>
      <c r="N708" s="8"/>
    </row>
    <row r="709" ht="15.75" customHeight="1">
      <c r="D709" s="8"/>
      <c r="E709" s="8"/>
      <c r="F709" s="8"/>
      <c r="G709" s="8"/>
      <c r="H709" s="8"/>
      <c r="I709" s="8"/>
      <c r="J709" s="8"/>
      <c r="K709" s="8"/>
      <c r="M709" s="8"/>
      <c r="N709" s="8"/>
    </row>
    <row r="710" ht="15.75" customHeight="1">
      <c r="D710" s="8"/>
      <c r="E710" s="8"/>
      <c r="F710" s="8"/>
      <c r="G710" s="8"/>
      <c r="H710" s="8"/>
      <c r="I710" s="8"/>
      <c r="J710" s="8"/>
      <c r="K710" s="8"/>
      <c r="M710" s="8"/>
      <c r="N710" s="8"/>
    </row>
    <row r="711" ht="15.75" customHeight="1">
      <c r="D711" s="8"/>
      <c r="E711" s="8"/>
      <c r="F711" s="8"/>
      <c r="G711" s="8"/>
      <c r="H711" s="8"/>
      <c r="I711" s="8"/>
      <c r="J711" s="8"/>
      <c r="K711" s="8"/>
      <c r="M711" s="8"/>
      <c r="N711" s="8"/>
    </row>
    <row r="712" ht="15.75" customHeight="1">
      <c r="D712" s="8"/>
      <c r="E712" s="8"/>
      <c r="F712" s="8"/>
      <c r="G712" s="8"/>
      <c r="H712" s="8"/>
      <c r="I712" s="8"/>
      <c r="J712" s="8"/>
      <c r="K712" s="8"/>
      <c r="M712" s="8"/>
      <c r="N712" s="8"/>
    </row>
    <row r="713" ht="15.75" customHeight="1">
      <c r="D713" s="8"/>
      <c r="E713" s="8"/>
      <c r="F713" s="8"/>
      <c r="G713" s="8"/>
      <c r="H713" s="8"/>
      <c r="I713" s="8"/>
      <c r="J713" s="8"/>
      <c r="K713" s="8"/>
      <c r="M713" s="8"/>
      <c r="N713" s="8"/>
    </row>
    <row r="714" ht="15.75" customHeight="1">
      <c r="D714" s="8"/>
      <c r="E714" s="8"/>
      <c r="F714" s="8"/>
      <c r="G714" s="8"/>
      <c r="H714" s="8"/>
      <c r="I714" s="8"/>
      <c r="J714" s="8"/>
      <c r="K714" s="8"/>
      <c r="M714" s="8"/>
      <c r="N714" s="8"/>
    </row>
    <row r="715" ht="15.75" customHeight="1">
      <c r="D715" s="8"/>
      <c r="E715" s="8"/>
      <c r="F715" s="8"/>
      <c r="G715" s="8"/>
      <c r="H715" s="8"/>
      <c r="I715" s="8"/>
      <c r="J715" s="8"/>
      <c r="K715" s="8"/>
      <c r="M715" s="8"/>
      <c r="N715" s="8"/>
    </row>
    <row r="716" ht="15.75" customHeight="1">
      <c r="D716" s="8"/>
      <c r="E716" s="8"/>
      <c r="F716" s="8"/>
      <c r="G716" s="8"/>
      <c r="H716" s="8"/>
      <c r="I716" s="8"/>
      <c r="J716" s="8"/>
      <c r="K716" s="8"/>
      <c r="M716" s="8"/>
      <c r="N716" s="8"/>
    </row>
    <row r="717" ht="15.75" customHeight="1">
      <c r="D717" s="8"/>
      <c r="E717" s="8"/>
      <c r="F717" s="8"/>
      <c r="G717" s="8"/>
      <c r="H717" s="8"/>
      <c r="I717" s="8"/>
      <c r="J717" s="8"/>
      <c r="K717" s="8"/>
      <c r="M717" s="8"/>
      <c r="N717" s="8"/>
    </row>
    <row r="718" ht="15.75" customHeight="1">
      <c r="D718" s="8"/>
      <c r="E718" s="8"/>
      <c r="F718" s="8"/>
      <c r="G718" s="8"/>
      <c r="H718" s="8"/>
      <c r="I718" s="8"/>
      <c r="J718" s="8"/>
      <c r="K718" s="8"/>
      <c r="M718" s="8"/>
      <c r="N718" s="8"/>
    </row>
    <row r="719" ht="15.75" customHeight="1">
      <c r="D719" s="8"/>
      <c r="E719" s="8"/>
      <c r="F719" s="8"/>
      <c r="G719" s="8"/>
      <c r="H719" s="8"/>
      <c r="I719" s="8"/>
      <c r="J719" s="8"/>
      <c r="K719" s="8"/>
      <c r="M719" s="8"/>
      <c r="N719" s="8"/>
    </row>
    <row r="720" ht="15.75" customHeight="1">
      <c r="D720" s="8"/>
      <c r="E720" s="8"/>
      <c r="F720" s="8"/>
      <c r="G720" s="8"/>
      <c r="H720" s="8"/>
      <c r="I720" s="8"/>
      <c r="J720" s="8"/>
      <c r="K720" s="8"/>
      <c r="M720" s="8"/>
      <c r="N720" s="8"/>
    </row>
    <row r="721" ht="15.75" customHeight="1">
      <c r="D721" s="8"/>
      <c r="E721" s="8"/>
      <c r="F721" s="8"/>
      <c r="G721" s="8"/>
      <c r="H721" s="8"/>
      <c r="I721" s="8"/>
      <c r="J721" s="8"/>
      <c r="K721" s="8"/>
      <c r="M721" s="8"/>
      <c r="N721" s="8"/>
    </row>
    <row r="722" ht="15.75" customHeight="1">
      <c r="D722" s="8"/>
      <c r="E722" s="8"/>
      <c r="F722" s="8"/>
      <c r="G722" s="8"/>
      <c r="H722" s="8"/>
      <c r="I722" s="8"/>
      <c r="J722" s="8"/>
      <c r="K722" s="8"/>
      <c r="M722" s="8"/>
      <c r="N722" s="8"/>
    </row>
    <row r="723" ht="15.75" customHeight="1">
      <c r="D723" s="8"/>
      <c r="E723" s="8"/>
      <c r="F723" s="8"/>
      <c r="G723" s="8"/>
      <c r="H723" s="8"/>
      <c r="I723" s="8"/>
      <c r="J723" s="8"/>
      <c r="K723" s="8"/>
      <c r="M723" s="8"/>
      <c r="N723" s="8"/>
    </row>
    <row r="724" ht="15.75" customHeight="1">
      <c r="D724" s="8"/>
      <c r="E724" s="8"/>
      <c r="F724" s="8"/>
      <c r="G724" s="8"/>
      <c r="H724" s="8"/>
      <c r="I724" s="8"/>
      <c r="J724" s="8"/>
      <c r="K724" s="8"/>
      <c r="M724" s="8"/>
      <c r="N724" s="8"/>
    </row>
    <row r="725" ht="15.75" customHeight="1">
      <c r="D725" s="8"/>
      <c r="E725" s="8"/>
      <c r="F725" s="8"/>
      <c r="G725" s="8"/>
      <c r="H725" s="8"/>
      <c r="I725" s="8"/>
      <c r="J725" s="8"/>
      <c r="K725" s="8"/>
      <c r="M725" s="8"/>
      <c r="N725" s="8"/>
    </row>
    <row r="726" ht="15.75" customHeight="1">
      <c r="D726" s="8"/>
      <c r="E726" s="8"/>
      <c r="F726" s="8"/>
      <c r="G726" s="8"/>
      <c r="H726" s="8"/>
      <c r="I726" s="8"/>
      <c r="J726" s="8"/>
      <c r="K726" s="8"/>
      <c r="M726" s="8"/>
      <c r="N726" s="8"/>
    </row>
    <row r="727" ht="15.75" customHeight="1">
      <c r="D727" s="8"/>
      <c r="E727" s="8"/>
      <c r="F727" s="8"/>
      <c r="G727" s="8"/>
      <c r="H727" s="8"/>
      <c r="I727" s="8"/>
      <c r="J727" s="8"/>
      <c r="K727" s="8"/>
      <c r="M727" s="8"/>
      <c r="N727" s="8"/>
    </row>
    <row r="728" ht="15.75" customHeight="1">
      <c r="D728" s="8"/>
      <c r="E728" s="8"/>
      <c r="F728" s="8"/>
      <c r="G728" s="8"/>
      <c r="H728" s="8"/>
      <c r="I728" s="8"/>
      <c r="J728" s="8"/>
      <c r="K728" s="8"/>
      <c r="M728" s="8"/>
      <c r="N728" s="8"/>
    </row>
    <row r="729" ht="15.75" customHeight="1">
      <c r="D729" s="8"/>
      <c r="E729" s="8"/>
      <c r="F729" s="8"/>
      <c r="G729" s="8"/>
      <c r="H729" s="8"/>
      <c r="I729" s="8"/>
      <c r="J729" s="8"/>
      <c r="K729" s="8"/>
      <c r="M729" s="8"/>
      <c r="N729" s="8"/>
    </row>
    <row r="730" ht="15.75" customHeight="1">
      <c r="D730" s="8"/>
      <c r="E730" s="8"/>
      <c r="F730" s="8"/>
      <c r="G730" s="8"/>
      <c r="H730" s="8"/>
      <c r="I730" s="8"/>
      <c r="J730" s="8"/>
      <c r="K730" s="8"/>
      <c r="M730" s="8"/>
      <c r="N730" s="8"/>
    </row>
    <row r="731" ht="15.75" customHeight="1">
      <c r="D731" s="8"/>
      <c r="E731" s="8"/>
      <c r="F731" s="8"/>
      <c r="G731" s="8"/>
      <c r="H731" s="8"/>
      <c r="I731" s="8"/>
      <c r="J731" s="8"/>
      <c r="K731" s="8"/>
      <c r="M731" s="8"/>
      <c r="N731" s="8"/>
    </row>
    <row r="732" ht="15.75" customHeight="1">
      <c r="D732" s="8"/>
      <c r="E732" s="8"/>
      <c r="F732" s="8"/>
      <c r="G732" s="8"/>
      <c r="H732" s="8"/>
      <c r="I732" s="8"/>
      <c r="J732" s="8"/>
      <c r="K732" s="8"/>
      <c r="M732" s="8"/>
      <c r="N732" s="8"/>
    </row>
    <row r="733" ht="15.75" customHeight="1">
      <c r="D733" s="8"/>
      <c r="E733" s="8"/>
      <c r="F733" s="8"/>
      <c r="G733" s="8"/>
      <c r="H733" s="8"/>
      <c r="I733" s="8"/>
      <c r="J733" s="8"/>
      <c r="K733" s="8"/>
      <c r="M733" s="8"/>
      <c r="N733" s="8"/>
    </row>
    <row r="734" ht="15.75" customHeight="1">
      <c r="D734" s="8"/>
      <c r="E734" s="8"/>
      <c r="F734" s="8"/>
      <c r="G734" s="8"/>
      <c r="H734" s="8"/>
      <c r="I734" s="8"/>
      <c r="J734" s="8"/>
      <c r="K734" s="8"/>
      <c r="M734" s="8"/>
      <c r="N734" s="8"/>
    </row>
    <row r="735" ht="15.75" customHeight="1">
      <c r="D735" s="8"/>
      <c r="E735" s="8"/>
      <c r="F735" s="8"/>
      <c r="G735" s="8"/>
      <c r="H735" s="8"/>
      <c r="I735" s="8"/>
      <c r="J735" s="8"/>
      <c r="K735" s="8"/>
      <c r="M735" s="8"/>
      <c r="N735" s="8"/>
    </row>
    <row r="736" ht="15.75" customHeight="1">
      <c r="D736" s="8"/>
      <c r="E736" s="8"/>
      <c r="F736" s="8"/>
      <c r="G736" s="8"/>
      <c r="H736" s="8"/>
      <c r="I736" s="8"/>
      <c r="J736" s="8"/>
      <c r="K736" s="8"/>
      <c r="M736" s="8"/>
      <c r="N736" s="8"/>
    </row>
    <row r="737" ht="15.75" customHeight="1">
      <c r="D737" s="8"/>
      <c r="E737" s="8"/>
      <c r="F737" s="8"/>
      <c r="G737" s="8"/>
      <c r="H737" s="8"/>
      <c r="I737" s="8"/>
      <c r="J737" s="8"/>
      <c r="K737" s="8"/>
      <c r="M737" s="8"/>
      <c r="N737" s="8"/>
    </row>
    <row r="738" ht="15.75" customHeight="1">
      <c r="D738" s="8"/>
      <c r="E738" s="8"/>
      <c r="F738" s="8"/>
      <c r="G738" s="8"/>
      <c r="H738" s="8"/>
      <c r="I738" s="8"/>
      <c r="J738" s="8"/>
      <c r="K738" s="8"/>
      <c r="M738" s="8"/>
      <c r="N738" s="8"/>
    </row>
    <row r="739" ht="15.75" customHeight="1">
      <c r="D739" s="8"/>
      <c r="E739" s="8"/>
      <c r="F739" s="8"/>
      <c r="G739" s="8"/>
      <c r="H739" s="8"/>
      <c r="I739" s="8"/>
      <c r="J739" s="8"/>
      <c r="K739" s="8"/>
      <c r="M739" s="8"/>
      <c r="N739" s="8"/>
    </row>
    <row r="740" ht="15.75" customHeight="1">
      <c r="D740" s="8"/>
      <c r="E740" s="8"/>
      <c r="F740" s="8"/>
      <c r="G740" s="8"/>
      <c r="H740" s="8"/>
      <c r="I740" s="8"/>
      <c r="J740" s="8"/>
      <c r="K740" s="8"/>
      <c r="M740" s="8"/>
      <c r="N740" s="8"/>
    </row>
    <row r="741" ht="15.75" customHeight="1">
      <c r="D741" s="8"/>
      <c r="E741" s="8"/>
      <c r="F741" s="8"/>
      <c r="G741" s="8"/>
      <c r="H741" s="8"/>
      <c r="I741" s="8"/>
      <c r="J741" s="8"/>
      <c r="K741" s="8"/>
      <c r="M741" s="8"/>
      <c r="N741" s="8"/>
    </row>
    <row r="742" ht="15.75" customHeight="1">
      <c r="D742" s="8"/>
      <c r="E742" s="8"/>
      <c r="F742" s="8"/>
      <c r="G742" s="8"/>
      <c r="H742" s="8"/>
      <c r="I742" s="8"/>
      <c r="J742" s="8"/>
      <c r="K742" s="8"/>
      <c r="M742" s="8"/>
      <c r="N742" s="8"/>
    </row>
    <row r="743" ht="15.75" customHeight="1">
      <c r="D743" s="8"/>
      <c r="E743" s="8"/>
      <c r="F743" s="8"/>
      <c r="G743" s="8"/>
      <c r="H743" s="8"/>
      <c r="I743" s="8"/>
      <c r="J743" s="8"/>
      <c r="K743" s="8"/>
      <c r="M743" s="8"/>
      <c r="N743" s="8"/>
    </row>
    <row r="744" ht="15.75" customHeight="1">
      <c r="D744" s="8"/>
      <c r="E744" s="8"/>
      <c r="F744" s="8"/>
      <c r="G744" s="8"/>
      <c r="H744" s="8"/>
      <c r="I744" s="8"/>
      <c r="J744" s="8"/>
      <c r="K744" s="8"/>
      <c r="M744" s="8"/>
      <c r="N744" s="8"/>
    </row>
    <row r="745" ht="15.75" customHeight="1">
      <c r="D745" s="8"/>
      <c r="E745" s="8"/>
      <c r="F745" s="8"/>
      <c r="G745" s="8"/>
      <c r="H745" s="8"/>
      <c r="I745" s="8"/>
      <c r="J745" s="8"/>
      <c r="K745" s="8"/>
      <c r="M745" s="8"/>
      <c r="N745" s="8"/>
    </row>
    <row r="746" ht="15.75" customHeight="1">
      <c r="D746" s="8"/>
      <c r="E746" s="8"/>
      <c r="F746" s="8"/>
      <c r="G746" s="8"/>
      <c r="H746" s="8"/>
      <c r="I746" s="8"/>
      <c r="J746" s="8"/>
      <c r="K746" s="8"/>
      <c r="M746" s="8"/>
      <c r="N746" s="8"/>
    </row>
    <row r="747" ht="15.75" customHeight="1">
      <c r="D747" s="8"/>
      <c r="E747" s="8"/>
      <c r="F747" s="8"/>
      <c r="G747" s="8"/>
      <c r="H747" s="8"/>
      <c r="I747" s="8"/>
      <c r="J747" s="8"/>
      <c r="K747" s="8"/>
      <c r="M747" s="8"/>
      <c r="N747" s="8"/>
    </row>
    <row r="748" ht="15.75" customHeight="1">
      <c r="D748" s="8"/>
      <c r="E748" s="8"/>
      <c r="F748" s="8"/>
      <c r="G748" s="8"/>
      <c r="H748" s="8"/>
      <c r="I748" s="8"/>
      <c r="J748" s="8"/>
      <c r="K748" s="8"/>
      <c r="M748" s="8"/>
      <c r="N748" s="8"/>
    </row>
    <row r="749" ht="15.75" customHeight="1">
      <c r="D749" s="8"/>
      <c r="E749" s="8"/>
      <c r="F749" s="8"/>
      <c r="G749" s="8"/>
      <c r="H749" s="8"/>
      <c r="I749" s="8"/>
      <c r="J749" s="8"/>
      <c r="K749" s="8"/>
      <c r="M749" s="8"/>
      <c r="N749" s="8"/>
    </row>
    <row r="750" ht="15.75" customHeight="1">
      <c r="D750" s="8"/>
      <c r="E750" s="8"/>
      <c r="F750" s="8"/>
      <c r="G750" s="8"/>
      <c r="H750" s="8"/>
      <c r="I750" s="8"/>
      <c r="J750" s="8"/>
      <c r="K750" s="8"/>
      <c r="M750" s="8"/>
      <c r="N750" s="8"/>
    </row>
    <row r="751" ht="15.75" customHeight="1">
      <c r="D751" s="8"/>
      <c r="E751" s="8"/>
      <c r="F751" s="8"/>
      <c r="G751" s="8"/>
      <c r="H751" s="8"/>
      <c r="I751" s="8"/>
      <c r="J751" s="8"/>
      <c r="K751" s="8"/>
      <c r="M751" s="8"/>
      <c r="N751" s="8"/>
    </row>
    <row r="752" ht="15.75" customHeight="1">
      <c r="D752" s="8"/>
      <c r="E752" s="8"/>
      <c r="F752" s="8"/>
      <c r="G752" s="8"/>
      <c r="H752" s="8"/>
      <c r="I752" s="8"/>
      <c r="J752" s="8"/>
      <c r="K752" s="8"/>
      <c r="M752" s="8"/>
      <c r="N752" s="8"/>
    </row>
    <row r="753" ht="15.75" customHeight="1">
      <c r="D753" s="8"/>
      <c r="E753" s="8"/>
      <c r="F753" s="8"/>
      <c r="G753" s="8"/>
      <c r="H753" s="8"/>
      <c r="I753" s="8"/>
      <c r="J753" s="8"/>
      <c r="K753" s="8"/>
      <c r="M753" s="8"/>
      <c r="N753" s="8"/>
    </row>
    <row r="754" ht="15.75" customHeight="1">
      <c r="D754" s="8"/>
      <c r="E754" s="8"/>
      <c r="F754" s="8"/>
      <c r="G754" s="8"/>
      <c r="H754" s="8"/>
      <c r="I754" s="8"/>
      <c r="J754" s="8"/>
      <c r="K754" s="8"/>
      <c r="M754" s="8"/>
      <c r="N754" s="8"/>
    </row>
    <row r="755" ht="15.75" customHeight="1">
      <c r="D755" s="8"/>
      <c r="E755" s="8"/>
      <c r="F755" s="8"/>
      <c r="G755" s="8"/>
      <c r="H755" s="8"/>
      <c r="I755" s="8"/>
      <c r="J755" s="8"/>
      <c r="K755" s="8"/>
      <c r="M755" s="8"/>
      <c r="N755" s="8"/>
    </row>
    <row r="756" ht="15.75" customHeight="1">
      <c r="D756" s="8"/>
      <c r="E756" s="8"/>
      <c r="F756" s="8"/>
      <c r="G756" s="8"/>
      <c r="H756" s="8"/>
      <c r="I756" s="8"/>
      <c r="J756" s="8"/>
      <c r="K756" s="8"/>
      <c r="M756" s="8"/>
      <c r="N756" s="8"/>
    </row>
    <row r="757" ht="15.75" customHeight="1">
      <c r="D757" s="8"/>
      <c r="E757" s="8"/>
      <c r="F757" s="8"/>
      <c r="G757" s="8"/>
      <c r="H757" s="8"/>
      <c r="I757" s="8"/>
      <c r="J757" s="8"/>
      <c r="K757" s="8"/>
      <c r="M757" s="8"/>
      <c r="N757" s="8"/>
    </row>
    <row r="758" ht="15.75" customHeight="1">
      <c r="D758" s="8"/>
      <c r="E758" s="8"/>
      <c r="F758" s="8"/>
      <c r="G758" s="8"/>
      <c r="H758" s="8"/>
      <c r="I758" s="8"/>
      <c r="J758" s="8"/>
      <c r="K758" s="8"/>
      <c r="M758" s="8"/>
      <c r="N758" s="8"/>
    </row>
    <row r="759" ht="15.75" customHeight="1">
      <c r="D759" s="8"/>
      <c r="E759" s="8"/>
      <c r="F759" s="8"/>
      <c r="G759" s="8"/>
      <c r="H759" s="8"/>
      <c r="I759" s="8"/>
      <c r="J759" s="8"/>
      <c r="K759" s="8"/>
      <c r="M759" s="8"/>
      <c r="N759" s="8"/>
    </row>
    <row r="760" ht="15.75" customHeight="1">
      <c r="D760" s="8"/>
      <c r="E760" s="8"/>
      <c r="F760" s="8"/>
      <c r="G760" s="8"/>
      <c r="H760" s="8"/>
      <c r="I760" s="8"/>
      <c r="J760" s="8"/>
      <c r="K760" s="8"/>
      <c r="M760" s="8"/>
      <c r="N760" s="8"/>
    </row>
    <row r="761" ht="15.75" customHeight="1">
      <c r="D761" s="8"/>
      <c r="E761" s="8"/>
      <c r="F761" s="8"/>
      <c r="G761" s="8"/>
      <c r="H761" s="8"/>
      <c r="I761" s="8"/>
      <c r="J761" s="8"/>
      <c r="K761" s="8"/>
      <c r="M761" s="8"/>
      <c r="N761" s="8"/>
    </row>
    <row r="762" ht="15.75" customHeight="1">
      <c r="D762" s="8"/>
      <c r="E762" s="8"/>
      <c r="F762" s="8"/>
      <c r="G762" s="8"/>
      <c r="H762" s="8"/>
      <c r="I762" s="8"/>
      <c r="J762" s="8"/>
      <c r="K762" s="8"/>
      <c r="M762" s="8"/>
      <c r="N762" s="8"/>
    </row>
    <row r="763" ht="15.75" customHeight="1">
      <c r="D763" s="8"/>
      <c r="E763" s="8"/>
      <c r="F763" s="8"/>
      <c r="G763" s="8"/>
      <c r="H763" s="8"/>
      <c r="I763" s="8"/>
      <c r="J763" s="8"/>
      <c r="K763" s="8"/>
      <c r="M763" s="8"/>
      <c r="N763" s="8"/>
    </row>
    <row r="764" ht="15.75" customHeight="1">
      <c r="D764" s="8"/>
      <c r="E764" s="8"/>
      <c r="F764" s="8"/>
      <c r="G764" s="8"/>
      <c r="H764" s="8"/>
      <c r="I764" s="8"/>
      <c r="J764" s="8"/>
      <c r="K764" s="8"/>
      <c r="M764" s="8"/>
      <c r="N764" s="8"/>
    </row>
    <row r="765" ht="15.75" customHeight="1">
      <c r="D765" s="8"/>
      <c r="E765" s="8"/>
      <c r="F765" s="8"/>
      <c r="G765" s="8"/>
      <c r="H765" s="8"/>
      <c r="I765" s="8"/>
      <c r="J765" s="8"/>
      <c r="K765" s="8"/>
      <c r="M765" s="8"/>
      <c r="N765" s="8"/>
    </row>
    <row r="766" ht="15.75" customHeight="1">
      <c r="D766" s="8"/>
      <c r="E766" s="8"/>
      <c r="F766" s="8"/>
      <c r="G766" s="8"/>
      <c r="H766" s="8"/>
      <c r="I766" s="8"/>
      <c r="J766" s="8"/>
      <c r="K766" s="8"/>
      <c r="M766" s="8"/>
      <c r="N766" s="8"/>
    </row>
    <row r="767" ht="15.75" customHeight="1">
      <c r="D767" s="8"/>
      <c r="E767" s="8"/>
      <c r="F767" s="8"/>
      <c r="G767" s="8"/>
      <c r="H767" s="8"/>
      <c r="I767" s="8"/>
      <c r="J767" s="8"/>
      <c r="K767" s="8"/>
      <c r="M767" s="8"/>
      <c r="N767" s="8"/>
    </row>
    <row r="768" ht="15.75" customHeight="1">
      <c r="D768" s="8"/>
      <c r="E768" s="8"/>
      <c r="F768" s="8"/>
      <c r="G768" s="8"/>
      <c r="H768" s="8"/>
      <c r="I768" s="8"/>
      <c r="J768" s="8"/>
      <c r="K768" s="8"/>
      <c r="M768" s="8"/>
      <c r="N768" s="8"/>
    </row>
    <row r="769" ht="15.75" customHeight="1">
      <c r="D769" s="8"/>
      <c r="E769" s="8"/>
      <c r="F769" s="8"/>
      <c r="G769" s="8"/>
      <c r="H769" s="8"/>
      <c r="I769" s="8"/>
      <c r="J769" s="8"/>
      <c r="K769" s="8"/>
      <c r="M769" s="8"/>
      <c r="N769" s="8"/>
    </row>
    <row r="770" ht="15.75" customHeight="1">
      <c r="D770" s="8"/>
      <c r="E770" s="8"/>
      <c r="F770" s="8"/>
      <c r="G770" s="8"/>
      <c r="H770" s="8"/>
      <c r="I770" s="8"/>
      <c r="J770" s="8"/>
      <c r="K770" s="8"/>
      <c r="M770" s="8"/>
      <c r="N770" s="8"/>
    </row>
    <row r="771" ht="15.75" customHeight="1">
      <c r="D771" s="8"/>
      <c r="E771" s="8"/>
      <c r="F771" s="8"/>
      <c r="G771" s="8"/>
      <c r="H771" s="8"/>
      <c r="I771" s="8"/>
      <c r="J771" s="8"/>
      <c r="K771" s="8"/>
      <c r="M771" s="8"/>
      <c r="N771" s="8"/>
    </row>
    <row r="772" ht="15.75" customHeight="1">
      <c r="D772" s="8"/>
      <c r="E772" s="8"/>
      <c r="F772" s="8"/>
      <c r="G772" s="8"/>
      <c r="H772" s="8"/>
      <c r="I772" s="8"/>
      <c r="J772" s="8"/>
      <c r="K772" s="8"/>
      <c r="M772" s="8"/>
      <c r="N772" s="8"/>
    </row>
    <row r="773" ht="15.75" customHeight="1">
      <c r="D773" s="8"/>
      <c r="E773" s="8"/>
      <c r="F773" s="8"/>
      <c r="G773" s="8"/>
      <c r="H773" s="8"/>
      <c r="I773" s="8"/>
      <c r="J773" s="8"/>
      <c r="K773" s="8"/>
      <c r="M773" s="8"/>
      <c r="N773" s="8"/>
    </row>
    <row r="774" ht="15.75" customHeight="1">
      <c r="D774" s="8"/>
      <c r="E774" s="8"/>
      <c r="F774" s="8"/>
      <c r="G774" s="8"/>
      <c r="H774" s="8"/>
      <c r="I774" s="8"/>
      <c r="J774" s="8"/>
      <c r="K774" s="8"/>
      <c r="M774" s="8"/>
      <c r="N774" s="8"/>
    </row>
    <row r="775" ht="15.75" customHeight="1">
      <c r="D775" s="8"/>
      <c r="E775" s="8"/>
      <c r="F775" s="8"/>
      <c r="G775" s="8"/>
      <c r="H775" s="8"/>
      <c r="I775" s="8"/>
      <c r="J775" s="8"/>
      <c r="K775" s="8"/>
      <c r="M775" s="8"/>
      <c r="N775" s="8"/>
    </row>
    <row r="776" ht="15.75" customHeight="1">
      <c r="D776" s="8"/>
      <c r="E776" s="8"/>
      <c r="F776" s="8"/>
      <c r="G776" s="8"/>
      <c r="H776" s="8"/>
      <c r="I776" s="8"/>
      <c r="J776" s="8"/>
      <c r="K776" s="8"/>
      <c r="M776" s="8"/>
      <c r="N776" s="8"/>
    </row>
    <row r="777" ht="15.75" customHeight="1">
      <c r="D777" s="8"/>
      <c r="E777" s="8"/>
      <c r="F777" s="8"/>
      <c r="G777" s="8"/>
      <c r="H777" s="8"/>
      <c r="I777" s="8"/>
      <c r="J777" s="8"/>
      <c r="K777" s="8"/>
      <c r="M777" s="8"/>
      <c r="N777" s="8"/>
    </row>
    <row r="778" ht="15.75" customHeight="1">
      <c r="D778" s="8"/>
      <c r="E778" s="8"/>
      <c r="F778" s="8"/>
      <c r="G778" s="8"/>
      <c r="H778" s="8"/>
      <c r="I778" s="8"/>
      <c r="J778" s="8"/>
      <c r="K778" s="8"/>
      <c r="M778" s="8"/>
      <c r="N778" s="8"/>
    </row>
    <row r="779" ht="15.75" customHeight="1">
      <c r="D779" s="8"/>
      <c r="E779" s="8"/>
      <c r="F779" s="8"/>
      <c r="G779" s="8"/>
      <c r="H779" s="8"/>
      <c r="I779" s="8"/>
      <c r="J779" s="8"/>
      <c r="K779" s="8"/>
      <c r="M779" s="8"/>
      <c r="N779" s="8"/>
    </row>
    <row r="780" ht="15.75" customHeight="1">
      <c r="D780" s="8"/>
      <c r="E780" s="8"/>
      <c r="F780" s="8"/>
      <c r="G780" s="8"/>
      <c r="H780" s="8"/>
      <c r="I780" s="8"/>
      <c r="J780" s="8"/>
      <c r="K780" s="8"/>
      <c r="M780" s="8"/>
      <c r="N780" s="8"/>
    </row>
    <row r="781" ht="15.75" customHeight="1">
      <c r="D781" s="8"/>
      <c r="E781" s="8"/>
      <c r="F781" s="8"/>
      <c r="G781" s="8"/>
      <c r="H781" s="8"/>
      <c r="I781" s="8"/>
      <c r="J781" s="8"/>
      <c r="K781" s="8"/>
      <c r="M781" s="8"/>
      <c r="N781" s="8"/>
    </row>
    <row r="782" ht="15.75" customHeight="1">
      <c r="D782" s="8"/>
      <c r="E782" s="8"/>
      <c r="F782" s="8"/>
      <c r="G782" s="8"/>
      <c r="H782" s="8"/>
      <c r="I782" s="8"/>
      <c r="J782" s="8"/>
      <c r="K782" s="8"/>
      <c r="M782" s="8"/>
      <c r="N782" s="8"/>
    </row>
    <row r="783" ht="15.75" customHeight="1">
      <c r="D783" s="8"/>
      <c r="E783" s="8"/>
      <c r="F783" s="8"/>
      <c r="G783" s="8"/>
      <c r="H783" s="8"/>
      <c r="I783" s="8"/>
      <c r="J783" s="8"/>
      <c r="K783" s="8"/>
      <c r="M783" s="8"/>
      <c r="N783" s="8"/>
    </row>
    <row r="784" ht="15.75" customHeight="1">
      <c r="D784" s="8"/>
      <c r="E784" s="8"/>
      <c r="F784" s="8"/>
      <c r="G784" s="8"/>
      <c r="H784" s="8"/>
      <c r="I784" s="8"/>
      <c r="J784" s="8"/>
      <c r="K784" s="8"/>
      <c r="M784" s="8"/>
      <c r="N784" s="8"/>
    </row>
    <row r="785" ht="15.75" customHeight="1">
      <c r="D785" s="8"/>
      <c r="E785" s="8"/>
      <c r="F785" s="8"/>
      <c r="G785" s="8"/>
      <c r="H785" s="8"/>
      <c r="I785" s="8"/>
      <c r="J785" s="8"/>
      <c r="K785" s="8"/>
      <c r="M785" s="8"/>
      <c r="N785" s="8"/>
    </row>
    <row r="786" ht="15.75" customHeight="1">
      <c r="D786" s="8"/>
      <c r="E786" s="8"/>
      <c r="F786" s="8"/>
      <c r="G786" s="8"/>
      <c r="H786" s="8"/>
      <c r="I786" s="8"/>
      <c r="J786" s="8"/>
      <c r="K786" s="8"/>
      <c r="M786" s="8"/>
      <c r="N786" s="8"/>
    </row>
    <row r="787" ht="15.75" customHeight="1">
      <c r="D787" s="8"/>
      <c r="E787" s="8"/>
      <c r="F787" s="8"/>
      <c r="G787" s="8"/>
      <c r="H787" s="8"/>
      <c r="I787" s="8"/>
      <c r="J787" s="8"/>
      <c r="K787" s="8"/>
      <c r="M787" s="8"/>
      <c r="N787" s="8"/>
    </row>
    <row r="788" ht="15.75" customHeight="1">
      <c r="D788" s="8"/>
      <c r="E788" s="8"/>
      <c r="F788" s="8"/>
      <c r="G788" s="8"/>
      <c r="H788" s="8"/>
      <c r="I788" s="8"/>
      <c r="J788" s="8"/>
      <c r="K788" s="8"/>
      <c r="M788" s="8"/>
      <c r="N788" s="8"/>
    </row>
    <row r="789" ht="15.75" customHeight="1">
      <c r="D789" s="8"/>
      <c r="E789" s="8"/>
      <c r="F789" s="8"/>
      <c r="G789" s="8"/>
      <c r="H789" s="8"/>
      <c r="I789" s="8"/>
      <c r="J789" s="8"/>
      <c r="K789" s="8"/>
      <c r="M789" s="8"/>
      <c r="N789" s="8"/>
    </row>
    <row r="790" ht="15.75" customHeight="1">
      <c r="D790" s="8"/>
      <c r="E790" s="8"/>
      <c r="F790" s="8"/>
      <c r="G790" s="8"/>
      <c r="H790" s="8"/>
      <c r="I790" s="8"/>
      <c r="J790" s="8"/>
      <c r="K790" s="8"/>
      <c r="M790" s="8"/>
      <c r="N790" s="8"/>
    </row>
    <row r="791" ht="15.75" customHeight="1">
      <c r="D791" s="8"/>
      <c r="E791" s="8"/>
      <c r="F791" s="8"/>
      <c r="G791" s="8"/>
      <c r="H791" s="8"/>
      <c r="I791" s="8"/>
      <c r="J791" s="8"/>
      <c r="K791" s="8"/>
      <c r="M791" s="8"/>
      <c r="N791" s="8"/>
    </row>
    <row r="792" ht="15.75" customHeight="1">
      <c r="D792" s="8"/>
      <c r="E792" s="8"/>
      <c r="F792" s="8"/>
      <c r="G792" s="8"/>
      <c r="H792" s="8"/>
      <c r="I792" s="8"/>
      <c r="J792" s="8"/>
      <c r="K792" s="8"/>
      <c r="M792" s="8"/>
      <c r="N792" s="8"/>
    </row>
    <row r="793" ht="15.75" customHeight="1">
      <c r="D793" s="8"/>
      <c r="E793" s="8"/>
      <c r="F793" s="8"/>
      <c r="G793" s="8"/>
      <c r="H793" s="8"/>
      <c r="I793" s="8"/>
      <c r="J793" s="8"/>
      <c r="K793" s="8"/>
      <c r="M793" s="8"/>
      <c r="N793" s="8"/>
    </row>
    <row r="794" ht="15.75" customHeight="1">
      <c r="D794" s="8"/>
      <c r="E794" s="8"/>
      <c r="F794" s="8"/>
      <c r="G794" s="8"/>
      <c r="H794" s="8"/>
      <c r="I794" s="8"/>
      <c r="J794" s="8"/>
      <c r="K794" s="8"/>
      <c r="M794" s="8"/>
      <c r="N794" s="8"/>
    </row>
    <row r="795" ht="15.75" customHeight="1">
      <c r="D795" s="8"/>
      <c r="E795" s="8"/>
      <c r="F795" s="8"/>
      <c r="G795" s="8"/>
      <c r="H795" s="8"/>
      <c r="I795" s="8"/>
      <c r="J795" s="8"/>
      <c r="K795" s="8"/>
      <c r="M795" s="8"/>
      <c r="N795" s="8"/>
    </row>
    <row r="796" ht="15.75" customHeight="1">
      <c r="D796" s="8"/>
      <c r="E796" s="8"/>
      <c r="F796" s="8"/>
      <c r="G796" s="8"/>
      <c r="H796" s="8"/>
      <c r="I796" s="8"/>
      <c r="J796" s="8"/>
      <c r="K796" s="8"/>
      <c r="M796" s="8"/>
      <c r="N796" s="8"/>
    </row>
    <row r="797" ht="15.75" customHeight="1">
      <c r="D797" s="8"/>
      <c r="E797" s="8"/>
      <c r="F797" s="8"/>
      <c r="G797" s="8"/>
      <c r="H797" s="8"/>
      <c r="I797" s="8"/>
      <c r="J797" s="8"/>
      <c r="K797" s="8"/>
      <c r="M797" s="8"/>
      <c r="N797" s="8"/>
    </row>
    <row r="798" ht="15.75" customHeight="1">
      <c r="D798" s="8"/>
      <c r="E798" s="8"/>
      <c r="F798" s="8"/>
      <c r="G798" s="8"/>
      <c r="H798" s="8"/>
      <c r="I798" s="8"/>
      <c r="J798" s="8"/>
      <c r="K798" s="8"/>
      <c r="M798" s="8"/>
      <c r="N798" s="8"/>
    </row>
    <row r="799" ht="15.75" customHeight="1">
      <c r="D799" s="8"/>
      <c r="E799" s="8"/>
      <c r="F799" s="8"/>
      <c r="G799" s="8"/>
      <c r="H799" s="8"/>
      <c r="I799" s="8"/>
      <c r="J799" s="8"/>
      <c r="K799" s="8"/>
      <c r="M799" s="8"/>
      <c r="N799" s="8"/>
    </row>
    <row r="800" ht="15.75" customHeight="1">
      <c r="D800" s="8"/>
      <c r="E800" s="8"/>
      <c r="F800" s="8"/>
      <c r="G800" s="8"/>
      <c r="H800" s="8"/>
      <c r="I800" s="8"/>
      <c r="J800" s="8"/>
      <c r="K800" s="8"/>
      <c r="M800" s="8"/>
      <c r="N800" s="8"/>
    </row>
    <row r="801" ht="15.75" customHeight="1">
      <c r="D801" s="8"/>
      <c r="E801" s="8"/>
      <c r="F801" s="8"/>
      <c r="G801" s="8"/>
      <c r="H801" s="8"/>
      <c r="I801" s="8"/>
      <c r="J801" s="8"/>
      <c r="K801" s="8"/>
      <c r="M801" s="8"/>
      <c r="N801" s="8"/>
    </row>
    <row r="802" ht="15.75" customHeight="1">
      <c r="D802" s="8"/>
      <c r="E802" s="8"/>
      <c r="F802" s="8"/>
      <c r="G802" s="8"/>
      <c r="H802" s="8"/>
      <c r="I802" s="8"/>
      <c r="J802" s="8"/>
      <c r="K802" s="8"/>
      <c r="M802" s="8"/>
      <c r="N802" s="8"/>
    </row>
    <row r="803" ht="15.75" customHeight="1">
      <c r="D803" s="8"/>
      <c r="E803" s="8"/>
      <c r="F803" s="8"/>
      <c r="G803" s="8"/>
      <c r="H803" s="8"/>
      <c r="I803" s="8"/>
      <c r="J803" s="8"/>
      <c r="K803" s="8"/>
      <c r="M803" s="8"/>
      <c r="N803" s="8"/>
    </row>
    <row r="804" ht="15.75" customHeight="1">
      <c r="D804" s="8"/>
      <c r="E804" s="8"/>
      <c r="F804" s="8"/>
      <c r="G804" s="8"/>
      <c r="H804" s="8"/>
      <c r="I804" s="8"/>
      <c r="J804" s="8"/>
      <c r="K804" s="8"/>
      <c r="M804" s="8"/>
      <c r="N804" s="8"/>
    </row>
    <row r="805" ht="15.75" customHeight="1">
      <c r="D805" s="8"/>
      <c r="E805" s="8"/>
      <c r="F805" s="8"/>
      <c r="G805" s="8"/>
      <c r="H805" s="8"/>
      <c r="I805" s="8"/>
      <c r="J805" s="8"/>
      <c r="K805" s="8"/>
      <c r="M805" s="8"/>
      <c r="N805" s="8"/>
    </row>
    <row r="806" ht="15.75" customHeight="1">
      <c r="D806" s="8"/>
      <c r="E806" s="8"/>
      <c r="F806" s="8"/>
      <c r="G806" s="8"/>
      <c r="H806" s="8"/>
      <c r="I806" s="8"/>
      <c r="J806" s="8"/>
      <c r="K806" s="8"/>
      <c r="M806" s="8"/>
      <c r="N806" s="8"/>
    </row>
    <row r="807" ht="15.75" customHeight="1">
      <c r="D807" s="8"/>
      <c r="E807" s="8"/>
      <c r="F807" s="8"/>
      <c r="G807" s="8"/>
      <c r="H807" s="8"/>
      <c r="I807" s="8"/>
      <c r="J807" s="8"/>
      <c r="K807" s="8"/>
      <c r="M807" s="8"/>
      <c r="N807" s="8"/>
    </row>
    <row r="808" ht="15.75" customHeight="1">
      <c r="D808" s="8"/>
      <c r="E808" s="8"/>
      <c r="F808" s="8"/>
      <c r="G808" s="8"/>
      <c r="H808" s="8"/>
      <c r="I808" s="8"/>
      <c r="J808" s="8"/>
      <c r="K808" s="8"/>
      <c r="M808" s="8"/>
      <c r="N808" s="8"/>
    </row>
    <row r="809" ht="15.75" customHeight="1">
      <c r="D809" s="8"/>
      <c r="E809" s="8"/>
      <c r="F809" s="8"/>
      <c r="G809" s="8"/>
      <c r="H809" s="8"/>
      <c r="I809" s="8"/>
      <c r="J809" s="8"/>
      <c r="K809" s="8"/>
      <c r="M809" s="8"/>
      <c r="N809" s="8"/>
    </row>
    <row r="810" ht="15.75" customHeight="1">
      <c r="D810" s="8"/>
      <c r="E810" s="8"/>
      <c r="F810" s="8"/>
      <c r="G810" s="8"/>
      <c r="H810" s="8"/>
      <c r="I810" s="8"/>
      <c r="J810" s="8"/>
      <c r="K810" s="8"/>
      <c r="M810" s="8"/>
      <c r="N810" s="8"/>
    </row>
    <row r="811" ht="15.75" customHeight="1">
      <c r="D811" s="8"/>
      <c r="E811" s="8"/>
      <c r="F811" s="8"/>
      <c r="G811" s="8"/>
      <c r="H811" s="8"/>
      <c r="I811" s="8"/>
      <c r="J811" s="8"/>
      <c r="K811" s="8"/>
      <c r="M811" s="8"/>
      <c r="N811" s="8"/>
    </row>
    <row r="812" ht="15.75" customHeight="1">
      <c r="D812" s="8"/>
      <c r="E812" s="8"/>
      <c r="F812" s="8"/>
      <c r="G812" s="8"/>
      <c r="H812" s="8"/>
      <c r="I812" s="8"/>
      <c r="J812" s="8"/>
      <c r="K812" s="8"/>
      <c r="M812" s="8"/>
      <c r="N812" s="8"/>
    </row>
    <row r="813" ht="15.75" customHeight="1">
      <c r="D813" s="8"/>
      <c r="E813" s="8"/>
      <c r="F813" s="8"/>
      <c r="G813" s="8"/>
      <c r="H813" s="8"/>
      <c r="I813" s="8"/>
      <c r="J813" s="8"/>
      <c r="K813" s="8"/>
      <c r="M813" s="8"/>
      <c r="N813" s="8"/>
    </row>
    <row r="814" ht="15.75" customHeight="1">
      <c r="D814" s="8"/>
      <c r="E814" s="8"/>
      <c r="F814" s="8"/>
      <c r="G814" s="8"/>
      <c r="H814" s="8"/>
      <c r="I814" s="8"/>
      <c r="J814" s="8"/>
      <c r="K814" s="8"/>
      <c r="M814" s="8"/>
      <c r="N814" s="8"/>
    </row>
    <row r="815" ht="15.75" customHeight="1">
      <c r="D815" s="8"/>
      <c r="E815" s="8"/>
      <c r="F815" s="8"/>
      <c r="G815" s="8"/>
      <c r="H815" s="8"/>
      <c r="I815" s="8"/>
      <c r="J815" s="8"/>
      <c r="K815" s="8"/>
      <c r="M815" s="8"/>
      <c r="N815" s="8"/>
    </row>
    <row r="816" ht="15.75" customHeight="1">
      <c r="D816" s="8"/>
      <c r="E816" s="8"/>
      <c r="F816" s="8"/>
      <c r="G816" s="8"/>
      <c r="H816" s="8"/>
      <c r="I816" s="8"/>
      <c r="J816" s="8"/>
      <c r="K816" s="8"/>
      <c r="M816" s="8"/>
      <c r="N816" s="8"/>
    </row>
    <row r="817" ht="15.75" customHeight="1">
      <c r="D817" s="8"/>
      <c r="E817" s="8"/>
      <c r="F817" s="8"/>
      <c r="G817" s="8"/>
      <c r="H817" s="8"/>
      <c r="I817" s="8"/>
      <c r="J817" s="8"/>
      <c r="K817" s="8"/>
      <c r="M817" s="8"/>
      <c r="N817" s="8"/>
    </row>
    <row r="818" ht="15.75" customHeight="1">
      <c r="D818" s="8"/>
      <c r="E818" s="8"/>
      <c r="F818" s="8"/>
      <c r="G818" s="8"/>
      <c r="H818" s="8"/>
      <c r="I818" s="8"/>
      <c r="J818" s="8"/>
      <c r="K818" s="8"/>
      <c r="M818" s="8"/>
      <c r="N818" s="8"/>
    </row>
    <row r="819" ht="15.75" customHeight="1">
      <c r="D819" s="8"/>
      <c r="E819" s="8"/>
      <c r="F819" s="8"/>
      <c r="G819" s="8"/>
      <c r="H819" s="8"/>
      <c r="I819" s="8"/>
      <c r="J819" s="8"/>
      <c r="K819" s="8"/>
      <c r="M819" s="8"/>
      <c r="N819" s="8"/>
    </row>
    <row r="820" ht="15.75" customHeight="1">
      <c r="D820" s="8"/>
      <c r="E820" s="8"/>
      <c r="F820" s="8"/>
      <c r="G820" s="8"/>
      <c r="H820" s="8"/>
      <c r="I820" s="8"/>
      <c r="J820" s="8"/>
      <c r="K820" s="8"/>
      <c r="M820" s="8"/>
      <c r="N820" s="8"/>
    </row>
    <row r="821" ht="15.75" customHeight="1">
      <c r="D821" s="8"/>
      <c r="E821" s="8"/>
      <c r="F821" s="8"/>
      <c r="G821" s="8"/>
      <c r="H821" s="8"/>
      <c r="I821" s="8"/>
      <c r="J821" s="8"/>
      <c r="K821" s="8"/>
      <c r="M821" s="8"/>
      <c r="N821" s="8"/>
    </row>
    <row r="822" ht="15.75" customHeight="1">
      <c r="D822" s="8"/>
      <c r="E822" s="8"/>
      <c r="F822" s="8"/>
      <c r="G822" s="8"/>
      <c r="H822" s="8"/>
      <c r="I822" s="8"/>
      <c r="J822" s="8"/>
      <c r="K822" s="8"/>
      <c r="M822" s="8"/>
      <c r="N822" s="8"/>
    </row>
    <row r="823" ht="15.75" customHeight="1">
      <c r="D823" s="8"/>
      <c r="E823" s="8"/>
      <c r="F823" s="8"/>
      <c r="G823" s="8"/>
      <c r="H823" s="8"/>
      <c r="I823" s="8"/>
      <c r="J823" s="8"/>
      <c r="K823" s="8"/>
      <c r="M823" s="8"/>
      <c r="N823" s="8"/>
    </row>
    <row r="824" ht="15.75" customHeight="1">
      <c r="D824" s="8"/>
      <c r="E824" s="8"/>
      <c r="F824" s="8"/>
      <c r="G824" s="8"/>
      <c r="H824" s="8"/>
      <c r="I824" s="8"/>
      <c r="J824" s="8"/>
      <c r="K824" s="8"/>
      <c r="M824" s="8"/>
      <c r="N824" s="8"/>
    </row>
    <row r="825" ht="15.75" customHeight="1">
      <c r="D825" s="8"/>
      <c r="E825" s="8"/>
      <c r="F825" s="8"/>
      <c r="G825" s="8"/>
      <c r="H825" s="8"/>
      <c r="I825" s="8"/>
      <c r="J825" s="8"/>
      <c r="K825" s="8"/>
      <c r="M825" s="8"/>
      <c r="N825" s="8"/>
    </row>
    <row r="826" ht="15.75" customHeight="1">
      <c r="D826" s="8"/>
      <c r="E826" s="8"/>
      <c r="F826" s="8"/>
      <c r="G826" s="8"/>
      <c r="H826" s="8"/>
      <c r="I826" s="8"/>
      <c r="J826" s="8"/>
      <c r="K826" s="8"/>
      <c r="M826" s="8"/>
      <c r="N826" s="8"/>
    </row>
    <row r="827" ht="15.75" customHeight="1">
      <c r="D827" s="8"/>
      <c r="E827" s="8"/>
      <c r="F827" s="8"/>
      <c r="G827" s="8"/>
      <c r="H827" s="8"/>
      <c r="I827" s="8"/>
      <c r="J827" s="8"/>
      <c r="K827" s="8"/>
      <c r="M827" s="8"/>
      <c r="N827" s="8"/>
    </row>
    <row r="828" ht="15.75" customHeight="1">
      <c r="D828" s="8"/>
      <c r="E828" s="8"/>
      <c r="F828" s="8"/>
      <c r="G828" s="8"/>
      <c r="H828" s="8"/>
      <c r="I828" s="8"/>
      <c r="J828" s="8"/>
      <c r="K828" s="8"/>
      <c r="M828" s="8"/>
      <c r="N828" s="8"/>
    </row>
    <row r="829" ht="15.75" customHeight="1">
      <c r="D829" s="8"/>
      <c r="E829" s="8"/>
      <c r="F829" s="8"/>
      <c r="G829" s="8"/>
      <c r="H829" s="8"/>
      <c r="I829" s="8"/>
      <c r="J829" s="8"/>
      <c r="K829" s="8"/>
      <c r="M829" s="8"/>
      <c r="N829" s="8"/>
    </row>
    <row r="830" ht="15.75" customHeight="1">
      <c r="D830" s="8"/>
      <c r="E830" s="8"/>
      <c r="F830" s="8"/>
      <c r="G830" s="8"/>
      <c r="H830" s="8"/>
      <c r="I830" s="8"/>
      <c r="J830" s="8"/>
      <c r="K830" s="8"/>
      <c r="M830" s="8"/>
      <c r="N830" s="8"/>
    </row>
    <row r="831" ht="15.75" customHeight="1">
      <c r="D831" s="8"/>
      <c r="E831" s="8"/>
      <c r="F831" s="8"/>
      <c r="G831" s="8"/>
      <c r="H831" s="8"/>
      <c r="I831" s="8"/>
      <c r="J831" s="8"/>
      <c r="K831" s="8"/>
      <c r="M831" s="8"/>
      <c r="N831" s="8"/>
    </row>
    <row r="832" ht="15.75" customHeight="1">
      <c r="D832" s="8"/>
      <c r="E832" s="8"/>
      <c r="F832" s="8"/>
      <c r="G832" s="8"/>
      <c r="H832" s="8"/>
      <c r="I832" s="8"/>
      <c r="J832" s="8"/>
      <c r="K832" s="8"/>
      <c r="M832" s="8"/>
      <c r="N832" s="8"/>
    </row>
    <row r="833" ht="15.75" customHeight="1">
      <c r="D833" s="8"/>
      <c r="E833" s="8"/>
      <c r="F833" s="8"/>
      <c r="G833" s="8"/>
      <c r="H833" s="8"/>
      <c r="I833" s="8"/>
      <c r="J833" s="8"/>
      <c r="K833" s="8"/>
      <c r="M833" s="8"/>
      <c r="N833" s="8"/>
    </row>
    <row r="834" ht="15.75" customHeight="1">
      <c r="D834" s="8"/>
      <c r="E834" s="8"/>
      <c r="F834" s="8"/>
      <c r="G834" s="8"/>
      <c r="H834" s="8"/>
      <c r="I834" s="8"/>
      <c r="J834" s="8"/>
      <c r="K834" s="8"/>
      <c r="M834" s="8"/>
      <c r="N834" s="8"/>
    </row>
    <row r="835" ht="15.75" customHeight="1">
      <c r="D835" s="8"/>
      <c r="E835" s="8"/>
      <c r="F835" s="8"/>
      <c r="G835" s="8"/>
      <c r="H835" s="8"/>
      <c r="I835" s="8"/>
      <c r="J835" s="8"/>
      <c r="K835" s="8"/>
      <c r="M835" s="8"/>
      <c r="N835" s="8"/>
    </row>
    <row r="836" ht="15.75" customHeight="1">
      <c r="D836" s="8"/>
      <c r="E836" s="8"/>
      <c r="F836" s="8"/>
      <c r="G836" s="8"/>
      <c r="H836" s="8"/>
      <c r="I836" s="8"/>
      <c r="J836" s="8"/>
      <c r="K836" s="8"/>
      <c r="M836" s="8"/>
      <c r="N836" s="8"/>
    </row>
    <row r="837" ht="15.75" customHeight="1">
      <c r="D837" s="8"/>
      <c r="E837" s="8"/>
      <c r="F837" s="8"/>
      <c r="G837" s="8"/>
      <c r="H837" s="8"/>
      <c r="I837" s="8"/>
      <c r="J837" s="8"/>
      <c r="K837" s="8"/>
      <c r="M837" s="8"/>
      <c r="N837" s="8"/>
    </row>
    <row r="838" ht="15.75" customHeight="1">
      <c r="D838" s="8"/>
      <c r="E838" s="8"/>
      <c r="F838" s="8"/>
      <c r="G838" s="8"/>
      <c r="H838" s="8"/>
      <c r="I838" s="8"/>
      <c r="J838" s="8"/>
      <c r="K838" s="8"/>
      <c r="M838" s="8"/>
      <c r="N838" s="8"/>
    </row>
    <row r="839" ht="15.75" customHeight="1">
      <c r="D839" s="8"/>
      <c r="E839" s="8"/>
      <c r="F839" s="8"/>
      <c r="G839" s="8"/>
      <c r="H839" s="8"/>
      <c r="I839" s="8"/>
      <c r="J839" s="8"/>
      <c r="K839" s="8"/>
      <c r="M839" s="8"/>
      <c r="N839" s="8"/>
    </row>
    <row r="840" ht="15.75" customHeight="1">
      <c r="D840" s="8"/>
      <c r="E840" s="8"/>
      <c r="F840" s="8"/>
      <c r="G840" s="8"/>
      <c r="H840" s="8"/>
      <c r="I840" s="8"/>
      <c r="J840" s="8"/>
      <c r="K840" s="8"/>
      <c r="M840" s="8"/>
      <c r="N840" s="8"/>
    </row>
    <row r="841" ht="15.75" customHeight="1">
      <c r="D841" s="8"/>
      <c r="E841" s="8"/>
      <c r="F841" s="8"/>
      <c r="G841" s="8"/>
      <c r="H841" s="8"/>
      <c r="I841" s="8"/>
      <c r="J841" s="8"/>
      <c r="K841" s="8"/>
      <c r="M841" s="8"/>
      <c r="N841" s="8"/>
    </row>
    <row r="842" ht="15.75" customHeight="1">
      <c r="D842" s="8"/>
      <c r="E842" s="8"/>
      <c r="F842" s="8"/>
      <c r="G842" s="8"/>
      <c r="H842" s="8"/>
      <c r="I842" s="8"/>
      <c r="J842" s="8"/>
      <c r="K842" s="8"/>
      <c r="M842" s="8"/>
      <c r="N842" s="8"/>
    </row>
    <row r="843" ht="15.75" customHeight="1">
      <c r="D843" s="8"/>
      <c r="E843" s="8"/>
      <c r="F843" s="8"/>
      <c r="G843" s="8"/>
      <c r="H843" s="8"/>
      <c r="I843" s="8"/>
      <c r="J843" s="8"/>
      <c r="K843" s="8"/>
      <c r="M843" s="8"/>
      <c r="N843" s="8"/>
    </row>
    <row r="844" ht="15.75" customHeight="1">
      <c r="D844" s="8"/>
      <c r="E844" s="8"/>
      <c r="F844" s="8"/>
      <c r="G844" s="8"/>
      <c r="H844" s="8"/>
      <c r="I844" s="8"/>
      <c r="J844" s="8"/>
      <c r="K844" s="8"/>
      <c r="M844" s="8"/>
      <c r="N844" s="8"/>
    </row>
    <row r="845" ht="15.75" customHeight="1">
      <c r="D845" s="8"/>
      <c r="E845" s="8"/>
      <c r="F845" s="8"/>
      <c r="G845" s="8"/>
      <c r="H845" s="8"/>
      <c r="I845" s="8"/>
      <c r="J845" s="8"/>
      <c r="K845" s="8"/>
      <c r="M845" s="8"/>
      <c r="N845" s="8"/>
    </row>
    <row r="846" ht="15.75" customHeight="1">
      <c r="D846" s="8"/>
      <c r="E846" s="8"/>
      <c r="F846" s="8"/>
      <c r="G846" s="8"/>
      <c r="H846" s="8"/>
      <c r="I846" s="8"/>
      <c r="J846" s="8"/>
      <c r="K846" s="8"/>
      <c r="M846" s="8"/>
      <c r="N846" s="8"/>
    </row>
    <row r="847" ht="15.75" customHeight="1">
      <c r="D847" s="8"/>
      <c r="E847" s="8"/>
      <c r="F847" s="8"/>
      <c r="G847" s="8"/>
      <c r="H847" s="8"/>
      <c r="I847" s="8"/>
      <c r="J847" s="8"/>
      <c r="K847" s="8"/>
      <c r="M847" s="8"/>
      <c r="N847" s="8"/>
    </row>
    <row r="848" ht="15.75" customHeight="1">
      <c r="D848" s="8"/>
      <c r="E848" s="8"/>
      <c r="F848" s="8"/>
      <c r="G848" s="8"/>
      <c r="H848" s="8"/>
      <c r="I848" s="8"/>
      <c r="J848" s="8"/>
      <c r="K848" s="8"/>
      <c r="M848" s="8"/>
      <c r="N848" s="8"/>
    </row>
    <row r="849" ht="15.75" customHeight="1">
      <c r="D849" s="8"/>
      <c r="E849" s="8"/>
      <c r="F849" s="8"/>
      <c r="G849" s="8"/>
      <c r="H849" s="8"/>
      <c r="I849" s="8"/>
      <c r="J849" s="8"/>
      <c r="K849" s="8"/>
      <c r="M849" s="8"/>
      <c r="N849" s="8"/>
    </row>
    <row r="850" ht="15.75" customHeight="1">
      <c r="D850" s="8"/>
      <c r="E850" s="8"/>
      <c r="F850" s="8"/>
      <c r="G850" s="8"/>
      <c r="H850" s="8"/>
      <c r="I850" s="8"/>
      <c r="J850" s="8"/>
      <c r="K850" s="8"/>
      <c r="M850" s="8"/>
      <c r="N850" s="8"/>
    </row>
    <row r="851" ht="15.75" customHeight="1">
      <c r="D851" s="8"/>
      <c r="E851" s="8"/>
      <c r="F851" s="8"/>
      <c r="G851" s="8"/>
      <c r="H851" s="8"/>
      <c r="I851" s="8"/>
      <c r="J851" s="8"/>
      <c r="K851" s="8"/>
      <c r="M851" s="8"/>
      <c r="N851" s="8"/>
    </row>
    <row r="852" ht="15.75" customHeight="1">
      <c r="D852" s="8"/>
      <c r="E852" s="8"/>
      <c r="F852" s="8"/>
      <c r="G852" s="8"/>
      <c r="H852" s="8"/>
      <c r="I852" s="8"/>
      <c r="J852" s="8"/>
      <c r="K852" s="8"/>
      <c r="M852" s="8"/>
      <c r="N852" s="8"/>
    </row>
    <row r="853" ht="15.75" customHeight="1">
      <c r="D853" s="8"/>
      <c r="E853" s="8"/>
      <c r="F853" s="8"/>
      <c r="G853" s="8"/>
      <c r="H853" s="8"/>
      <c r="I853" s="8"/>
      <c r="J853" s="8"/>
      <c r="K853" s="8"/>
      <c r="M853" s="8"/>
      <c r="N853" s="8"/>
    </row>
    <row r="854" ht="15.75" customHeight="1">
      <c r="D854" s="8"/>
      <c r="E854" s="8"/>
      <c r="F854" s="8"/>
      <c r="G854" s="8"/>
      <c r="H854" s="8"/>
      <c r="I854" s="8"/>
      <c r="J854" s="8"/>
      <c r="K854" s="8"/>
      <c r="M854" s="8"/>
      <c r="N854" s="8"/>
    </row>
    <row r="855" ht="15.75" customHeight="1">
      <c r="D855" s="8"/>
      <c r="E855" s="8"/>
      <c r="F855" s="8"/>
      <c r="G855" s="8"/>
      <c r="H855" s="8"/>
      <c r="I855" s="8"/>
      <c r="J855" s="8"/>
      <c r="K855" s="8"/>
      <c r="M855" s="8"/>
      <c r="N855" s="8"/>
    </row>
    <row r="856" ht="15.75" customHeight="1">
      <c r="D856" s="8"/>
      <c r="E856" s="8"/>
      <c r="F856" s="8"/>
      <c r="G856" s="8"/>
      <c r="H856" s="8"/>
      <c r="I856" s="8"/>
      <c r="J856" s="8"/>
      <c r="K856" s="8"/>
      <c r="M856" s="8"/>
      <c r="N856" s="8"/>
    </row>
    <row r="857" ht="15.75" customHeight="1">
      <c r="D857" s="8"/>
      <c r="E857" s="8"/>
      <c r="F857" s="8"/>
      <c r="G857" s="8"/>
      <c r="H857" s="8"/>
      <c r="I857" s="8"/>
      <c r="J857" s="8"/>
      <c r="K857" s="8"/>
      <c r="M857" s="8"/>
      <c r="N857" s="8"/>
    </row>
    <row r="858" ht="15.75" customHeight="1">
      <c r="D858" s="8"/>
      <c r="E858" s="8"/>
      <c r="F858" s="8"/>
      <c r="G858" s="8"/>
      <c r="H858" s="8"/>
      <c r="I858" s="8"/>
      <c r="J858" s="8"/>
      <c r="K858" s="8"/>
      <c r="M858" s="8"/>
      <c r="N858" s="8"/>
    </row>
    <row r="859" ht="15.75" customHeight="1">
      <c r="D859" s="8"/>
      <c r="E859" s="8"/>
      <c r="F859" s="8"/>
      <c r="G859" s="8"/>
      <c r="H859" s="8"/>
      <c r="I859" s="8"/>
      <c r="J859" s="8"/>
      <c r="K859" s="8"/>
      <c r="M859" s="8"/>
      <c r="N859" s="8"/>
    </row>
    <row r="860" ht="15.75" customHeight="1">
      <c r="D860" s="8"/>
      <c r="E860" s="8"/>
      <c r="F860" s="8"/>
      <c r="G860" s="8"/>
      <c r="H860" s="8"/>
      <c r="I860" s="8"/>
      <c r="J860" s="8"/>
      <c r="K860" s="8"/>
      <c r="M860" s="8"/>
      <c r="N860" s="8"/>
    </row>
    <row r="861" ht="15.75" customHeight="1">
      <c r="D861" s="8"/>
      <c r="E861" s="8"/>
      <c r="F861" s="8"/>
      <c r="G861" s="8"/>
      <c r="H861" s="8"/>
      <c r="I861" s="8"/>
      <c r="J861" s="8"/>
      <c r="K861" s="8"/>
      <c r="M861" s="8"/>
      <c r="N861" s="8"/>
    </row>
    <row r="862" ht="15.75" customHeight="1">
      <c r="D862" s="8"/>
      <c r="E862" s="8"/>
      <c r="F862" s="8"/>
      <c r="G862" s="8"/>
      <c r="H862" s="8"/>
      <c r="I862" s="8"/>
      <c r="J862" s="8"/>
      <c r="K862" s="8"/>
      <c r="M862" s="8"/>
      <c r="N862" s="8"/>
    </row>
    <row r="863" ht="15.75" customHeight="1">
      <c r="D863" s="8"/>
      <c r="E863" s="8"/>
      <c r="F863" s="8"/>
      <c r="G863" s="8"/>
      <c r="H863" s="8"/>
      <c r="I863" s="8"/>
      <c r="J863" s="8"/>
      <c r="K863" s="8"/>
      <c r="M863" s="8"/>
      <c r="N863" s="8"/>
    </row>
    <row r="864" ht="15.75" customHeight="1">
      <c r="D864" s="8"/>
      <c r="E864" s="8"/>
      <c r="F864" s="8"/>
      <c r="G864" s="8"/>
      <c r="H864" s="8"/>
      <c r="I864" s="8"/>
      <c r="J864" s="8"/>
      <c r="K864" s="8"/>
      <c r="M864" s="8"/>
      <c r="N864" s="8"/>
    </row>
    <row r="865" ht="15.75" customHeight="1">
      <c r="D865" s="8"/>
      <c r="E865" s="8"/>
      <c r="F865" s="8"/>
      <c r="G865" s="8"/>
      <c r="H865" s="8"/>
      <c r="I865" s="8"/>
      <c r="J865" s="8"/>
      <c r="K865" s="8"/>
      <c r="M865" s="8"/>
      <c r="N865" s="8"/>
    </row>
    <row r="866" ht="15.75" customHeight="1">
      <c r="D866" s="8"/>
      <c r="E866" s="8"/>
      <c r="F866" s="8"/>
      <c r="G866" s="8"/>
      <c r="H866" s="8"/>
      <c r="I866" s="8"/>
      <c r="J866" s="8"/>
      <c r="K866" s="8"/>
      <c r="M866" s="8"/>
      <c r="N866" s="8"/>
    </row>
    <row r="867" ht="15.75" customHeight="1">
      <c r="D867" s="8"/>
      <c r="E867" s="8"/>
      <c r="F867" s="8"/>
      <c r="G867" s="8"/>
      <c r="H867" s="8"/>
      <c r="I867" s="8"/>
      <c r="J867" s="8"/>
      <c r="K867" s="8"/>
      <c r="M867" s="8"/>
      <c r="N867" s="8"/>
    </row>
    <row r="868" ht="15.75" customHeight="1">
      <c r="D868" s="8"/>
      <c r="E868" s="8"/>
      <c r="F868" s="8"/>
      <c r="G868" s="8"/>
      <c r="H868" s="8"/>
      <c r="I868" s="8"/>
      <c r="J868" s="8"/>
      <c r="K868" s="8"/>
      <c r="M868" s="8"/>
      <c r="N868" s="8"/>
    </row>
    <row r="869" ht="15.75" customHeight="1">
      <c r="D869" s="8"/>
      <c r="E869" s="8"/>
      <c r="F869" s="8"/>
      <c r="G869" s="8"/>
      <c r="H869" s="8"/>
      <c r="I869" s="8"/>
      <c r="J869" s="8"/>
      <c r="K869" s="8"/>
      <c r="M869" s="8"/>
      <c r="N869" s="8"/>
    </row>
    <row r="870" ht="15.75" customHeight="1">
      <c r="D870" s="8"/>
      <c r="E870" s="8"/>
      <c r="F870" s="8"/>
      <c r="G870" s="8"/>
      <c r="H870" s="8"/>
      <c r="I870" s="8"/>
      <c r="J870" s="8"/>
      <c r="K870" s="8"/>
      <c r="M870" s="8"/>
      <c r="N870" s="8"/>
    </row>
    <row r="871" ht="15.75" customHeight="1">
      <c r="D871" s="8"/>
      <c r="E871" s="8"/>
      <c r="F871" s="8"/>
      <c r="G871" s="8"/>
      <c r="H871" s="8"/>
      <c r="I871" s="8"/>
      <c r="J871" s="8"/>
      <c r="K871" s="8"/>
      <c r="M871" s="8"/>
      <c r="N871" s="8"/>
    </row>
    <row r="872" ht="15.75" customHeight="1">
      <c r="D872" s="8"/>
      <c r="E872" s="8"/>
      <c r="F872" s="8"/>
      <c r="G872" s="8"/>
      <c r="H872" s="8"/>
      <c r="I872" s="8"/>
      <c r="J872" s="8"/>
      <c r="K872" s="8"/>
      <c r="M872" s="8"/>
      <c r="N872" s="8"/>
    </row>
    <row r="873" ht="15.75" customHeight="1">
      <c r="D873" s="8"/>
      <c r="E873" s="8"/>
      <c r="F873" s="8"/>
      <c r="G873" s="8"/>
      <c r="H873" s="8"/>
      <c r="I873" s="8"/>
      <c r="J873" s="8"/>
      <c r="K873" s="8"/>
      <c r="M873" s="8"/>
      <c r="N873" s="8"/>
    </row>
    <row r="874" ht="15.75" customHeight="1">
      <c r="D874" s="8"/>
      <c r="E874" s="8"/>
      <c r="F874" s="8"/>
      <c r="G874" s="8"/>
      <c r="H874" s="8"/>
      <c r="I874" s="8"/>
      <c r="J874" s="8"/>
      <c r="K874" s="8"/>
      <c r="M874" s="8"/>
      <c r="N874" s="8"/>
    </row>
    <row r="875" ht="15.75" customHeight="1">
      <c r="D875" s="8"/>
      <c r="E875" s="8"/>
      <c r="F875" s="8"/>
      <c r="G875" s="8"/>
      <c r="H875" s="8"/>
      <c r="I875" s="8"/>
      <c r="J875" s="8"/>
      <c r="K875" s="8"/>
      <c r="M875" s="8"/>
      <c r="N875" s="8"/>
    </row>
    <row r="876" ht="15.75" customHeight="1">
      <c r="D876" s="8"/>
      <c r="E876" s="8"/>
      <c r="F876" s="8"/>
      <c r="G876" s="8"/>
      <c r="H876" s="8"/>
      <c r="I876" s="8"/>
      <c r="J876" s="8"/>
      <c r="K876" s="8"/>
      <c r="M876" s="8"/>
      <c r="N876" s="8"/>
    </row>
    <row r="877" ht="15.75" customHeight="1">
      <c r="D877" s="8"/>
      <c r="E877" s="8"/>
      <c r="F877" s="8"/>
      <c r="G877" s="8"/>
      <c r="H877" s="8"/>
      <c r="I877" s="8"/>
      <c r="J877" s="8"/>
      <c r="K877" s="8"/>
      <c r="M877" s="8"/>
      <c r="N877" s="8"/>
    </row>
    <row r="878" ht="15.75" customHeight="1">
      <c r="D878" s="8"/>
      <c r="E878" s="8"/>
      <c r="F878" s="8"/>
      <c r="G878" s="8"/>
      <c r="H878" s="8"/>
      <c r="I878" s="8"/>
      <c r="J878" s="8"/>
      <c r="K878" s="8"/>
      <c r="M878" s="8"/>
      <c r="N878" s="8"/>
    </row>
    <row r="879" ht="15.75" customHeight="1">
      <c r="D879" s="8"/>
      <c r="E879" s="8"/>
      <c r="F879" s="8"/>
      <c r="G879" s="8"/>
      <c r="H879" s="8"/>
      <c r="I879" s="8"/>
      <c r="J879" s="8"/>
      <c r="K879" s="8"/>
      <c r="M879" s="8"/>
      <c r="N879" s="8"/>
    </row>
    <row r="880" ht="15.75" customHeight="1">
      <c r="D880" s="8"/>
      <c r="E880" s="8"/>
      <c r="F880" s="8"/>
      <c r="G880" s="8"/>
      <c r="H880" s="8"/>
      <c r="I880" s="8"/>
      <c r="J880" s="8"/>
      <c r="K880" s="8"/>
      <c r="M880" s="8"/>
      <c r="N880" s="8"/>
    </row>
    <row r="881" ht="15.75" customHeight="1">
      <c r="D881" s="8"/>
      <c r="E881" s="8"/>
      <c r="F881" s="8"/>
      <c r="G881" s="8"/>
      <c r="H881" s="8"/>
      <c r="I881" s="8"/>
      <c r="J881" s="8"/>
      <c r="K881" s="8"/>
      <c r="M881" s="8"/>
      <c r="N881" s="8"/>
    </row>
    <row r="882" ht="15.75" customHeight="1">
      <c r="D882" s="8"/>
      <c r="E882" s="8"/>
      <c r="F882" s="8"/>
      <c r="G882" s="8"/>
      <c r="H882" s="8"/>
      <c r="I882" s="8"/>
      <c r="J882" s="8"/>
      <c r="K882" s="8"/>
      <c r="M882" s="8"/>
      <c r="N882" s="8"/>
    </row>
    <row r="883" ht="15.75" customHeight="1">
      <c r="D883" s="8"/>
      <c r="E883" s="8"/>
      <c r="F883" s="8"/>
      <c r="G883" s="8"/>
      <c r="H883" s="8"/>
      <c r="I883" s="8"/>
      <c r="J883" s="8"/>
      <c r="K883" s="8"/>
      <c r="M883" s="8"/>
      <c r="N883" s="8"/>
    </row>
    <row r="884" ht="15.75" customHeight="1">
      <c r="D884" s="8"/>
      <c r="E884" s="8"/>
      <c r="F884" s="8"/>
      <c r="G884" s="8"/>
      <c r="H884" s="8"/>
      <c r="I884" s="8"/>
      <c r="J884" s="8"/>
      <c r="K884" s="8"/>
      <c r="M884" s="8"/>
      <c r="N884" s="8"/>
    </row>
    <row r="885" ht="15.75" customHeight="1">
      <c r="D885" s="8"/>
      <c r="E885" s="8"/>
      <c r="F885" s="8"/>
      <c r="G885" s="8"/>
      <c r="H885" s="8"/>
      <c r="I885" s="8"/>
      <c r="J885" s="8"/>
      <c r="K885" s="8"/>
      <c r="M885" s="8"/>
      <c r="N885" s="8"/>
    </row>
    <row r="886" ht="15.75" customHeight="1">
      <c r="D886" s="8"/>
      <c r="E886" s="8"/>
      <c r="F886" s="8"/>
      <c r="G886" s="8"/>
      <c r="H886" s="8"/>
      <c r="I886" s="8"/>
      <c r="J886" s="8"/>
      <c r="K886" s="8"/>
      <c r="M886" s="8"/>
      <c r="N886" s="8"/>
    </row>
    <row r="887" ht="15.75" customHeight="1">
      <c r="D887" s="8"/>
      <c r="E887" s="8"/>
      <c r="F887" s="8"/>
      <c r="G887" s="8"/>
      <c r="H887" s="8"/>
      <c r="I887" s="8"/>
      <c r="J887" s="8"/>
      <c r="K887" s="8"/>
      <c r="M887" s="8"/>
      <c r="N887" s="8"/>
    </row>
    <row r="888" ht="15.75" customHeight="1">
      <c r="D888" s="8"/>
      <c r="E888" s="8"/>
      <c r="F888" s="8"/>
      <c r="G888" s="8"/>
      <c r="H888" s="8"/>
      <c r="I888" s="8"/>
      <c r="J888" s="8"/>
      <c r="K888" s="8"/>
      <c r="M888" s="8"/>
      <c r="N888" s="8"/>
    </row>
    <row r="889" ht="15.75" customHeight="1">
      <c r="D889" s="8"/>
      <c r="E889" s="8"/>
      <c r="F889" s="8"/>
      <c r="G889" s="8"/>
      <c r="H889" s="8"/>
      <c r="I889" s="8"/>
      <c r="J889" s="8"/>
      <c r="K889" s="8"/>
      <c r="M889" s="8"/>
      <c r="N889" s="8"/>
    </row>
    <row r="890" ht="15.75" customHeight="1">
      <c r="D890" s="8"/>
      <c r="E890" s="8"/>
      <c r="F890" s="8"/>
      <c r="G890" s="8"/>
      <c r="H890" s="8"/>
      <c r="I890" s="8"/>
      <c r="J890" s="8"/>
      <c r="K890" s="8"/>
      <c r="M890" s="8"/>
      <c r="N890" s="8"/>
    </row>
    <row r="891" ht="15.75" customHeight="1">
      <c r="D891" s="8"/>
      <c r="E891" s="8"/>
      <c r="F891" s="8"/>
      <c r="G891" s="8"/>
      <c r="H891" s="8"/>
      <c r="I891" s="8"/>
      <c r="J891" s="8"/>
      <c r="K891" s="8"/>
      <c r="M891" s="8"/>
      <c r="N891" s="8"/>
    </row>
    <row r="892" ht="15.75" customHeight="1">
      <c r="D892" s="8"/>
      <c r="E892" s="8"/>
      <c r="F892" s="8"/>
      <c r="G892" s="8"/>
      <c r="H892" s="8"/>
      <c r="I892" s="8"/>
      <c r="J892" s="8"/>
      <c r="K892" s="8"/>
      <c r="M892" s="8"/>
      <c r="N892" s="8"/>
    </row>
    <row r="893" ht="15.75" customHeight="1">
      <c r="D893" s="8"/>
      <c r="E893" s="8"/>
      <c r="F893" s="8"/>
      <c r="G893" s="8"/>
      <c r="H893" s="8"/>
      <c r="I893" s="8"/>
      <c r="J893" s="8"/>
      <c r="K893" s="8"/>
      <c r="M893" s="8"/>
      <c r="N893" s="8"/>
    </row>
    <row r="894" ht="15.75" customHeight="1">
      <c r="D894" s="8"/>
      <c r="E894" s="8"/>
      <c r="F894" s="8"/>
      <c r="G894" s="8"/>
      <c r="H894" s="8"/>
      <c r="I894" s="8"/>
      <c r="J894" s="8"/>
      <c r="K894" s="8"/>
      <c r="M894" s="8"/>
      <c r="N894" s="8"/>
    </row>
    <row r="895" ht="15.75" customHeight="1">
      <c r="D895" s="8"/>
      <c r="E895" s="8"/>
      <c r="F895" s="8"/>
      <c r="G895" s="8"/>
      <c r="H895" s="8"/>
      <c r="I895" s="8"/>
      <c r="J895" s="8"/>
      <c r="K895" s="8"/>
      <c r="M895" s="8"/>
      <c r="N895" s="8"/>
    </row>
    <row r="896" ht="15.75" customHeight="1">
      <c r="D896" s="8"/>
      <c r="E896" s="8"/>
      <c r="F896" s="8"/>
      <c r="G896" s="8"/>
      <c r="H896" s="8"/>
      <c r="I896" s="8"/>
      <c r="J896" s="8"/>
      <c r="K896" s="8"/>
      <c r="M896" s="8"/>
      <c r="N896" s="8"/>
    </row>
    <row r="897" ht="15.75" customHeight="1">
      <c r="D897" s="8"/>
      <c r="E897" s="8"/>
      <c r="F897" s="8"/>
      <c r="G897" s="8"/>
      <c r="H897" s="8"/>
      <c r="I897" s="8"/>
      <c r="J897" s="8"/>
      <c r="K897" s="8"/>
      <c r="M897" s="8"/>
      <c r="N897" s="8"/>
    </row>
    <row r="898" ht="15.75" customHeight="1">
      <c r="D898" s="8"/>
      <c r="E898" s="8"/>
      <c r="F898" s="8"/>
      <c r="G898" s="8"/>
      <c r="H898" s="8"/>
      <c r="I898" s="8"/>
      <c r="J898" s="8"/>
      <c r="K898" s="8"/>
      <c r="M898" s="8"/>
      <c r="N898" s="8"/>
    </row>
    <row r="899" ht="15.75" customHeight="1">
      <c r="D899" s="8"/>
      <c r="E899" s="8"/>
      <c r="F899" s="8"/>
      <c r="G899" s="8"/>
      <c r="H899" s="8"/>
      <c r="I899" s="8"/>
      <c r="J899" s="8"/>
      <c r="K899" s="8"/>
      <c r="M899" s="8"/>
      <c r="N899" s="8"/>
    </row>
    <row r="900" ht="15.75" customHeight="1">
      <c r="D900" s="8"/>
      <c r="E900" s="8"/>
      <c r="F900" s="8"/>
      <c r="G900" s="8"/>
      <c r="H900" s="8"/>
      <c r="I900" s="8"/>
      <c r="J900" s="8"/>
      <c r="K900" s="8"/>
      <c r="M900" s="8"/>
      <c r="N900" s="8"/>
    </row>
    <row r="901" ht="15.75" customHeight="1">
      <c r="D901" s="8"/>
      <c r="E901" s="8"/>
      <c r="F901" s="8"/>
      <c r="G901" s="8"/>
      <c r="H901" s="8"/>
      <c r="I901" s="8"/>
      <c r="J901" s="8"/>
      <c r="K901" s="8"/>
      <c r="M901" s="8"/>
      <c r="N901" s="8"/>
    </row>
    <row r="902" ht="15.75" customHeight="1">
      <c r="D902" s="8"/>
      <c r="E902" s="8"/>
      <c r="F902" s="8"/>
      <c r="G902" s="8"/>
      <c r="H902" s="8"/>
      <c r="I902" s="8"/>
      <c r="J902" s="8"/>
      <c r="K902" s="8"/>
      <c r="M902" s="8"/>
      <c r="N902" s="8"/>
    </row>
    <row r="903" ht="15.75" customHeight="1">
      <c r="D903" s="8"/>
      <c r="E903" s="8"/>
      <c r="F903" s="8"/>
      <c r="G903" s="8"/>
      <c r="H903" s="8"/>
      <c r="I903" s="8"/>
      <c r="J903" s="8"/>
      <c r="K903" s="8"/>
      <c r="M903" s="8"/>
      <c r="N903" s="8"/>
    </row>
    <row r="904" ht="15.75" customHeight="1">
      <c r="D904" s="8"/>
      <c r="E904" s="8"/>
      <c r="F904" s="8"/>
      <c r="G904" s="8"/>
      <c r="H904" s="8"/>
      <c r="I904" s="8"/>
      <c r="J904" s="8"/>
      <c r="K904" s="8"/>
      <c r="M904" s="8"/>
      <c r="N904" s="8"/>
    </row>
    <row r="905" ht="15.75" customHeight="1">
      <c r="D905" s="8"/>
      <c r="E905" s="8"/>
      <c r="F905" s="8"/>
      <c r="G905" s="8"/>
      <c r="H905" s="8"/>
      <c r="I905" s="8"/>
      <c r="J905" s="8"/>
      <c r="K905" s="8"/>
      <c r="M905" s="8"/>
      <c r="N905" s="8"/>
    </row>
    <row r="906" ht="15.75" customHeight="1">
      <c r="D906" s="8"/>
      <c r="E906" s="8"/>
      <c r="F906" s="8"/>
      <c r="G906" s="8"/>
      <c r="H906" s="8"/>
      <c r="I906" s="8"/>
      <c r="J906" s="8"/>
      <c r="K906" s="8"/>
      <c r="M906" s="8"/>
      <c r="N906" s="8"/>
    </row>
    <row r="907" ht="15.75" customHeight="1">
      <c r="D907" s="8"/>
      <c r="E907" s="8"/>
      <c r="F907" s="8"/>
      <c r="G907" s="8"/>
      <c r="H907" s="8"/>
      <c r="I907" s="8"/>
      <c r="J907" s="8"/>
      <c r="K907" s="8"/>
      <c r="M907" s="8"/>
      <c r="N907" s="8"/>
    </row>
    <row r="908" ht="15.75" customHeight="1">
      <c r="D908" s="8"/>
      <c r="E908" s="8"/>
      <c r="F908" s="8"/>
      <c r="G908" s="8"/>
      <c r="H908" s="8"/>
      <c r="I908" s="8"/>
      <c r="J908" s="8"/>
      <c r="K908" s="8"/>
      <c r="M908" s="8"/>
      <c r="N908" s="8"/>
    </row>
    <row r="909" ht="15.75" customHeight="1">
      <c r="D909" s="8"/>
      <c r="E909" s="8"/>
      <c r="F909" s="8"/>
      <c r="G909" s="8"/>
      <c r="H909" s="8"/>
      <c r="I909" s="8"/>
      <c r="J909" s="8"/>
      <c r="K909" s="8"/>
      <c r="M909" s="8"/>
      <c r="N909" s="8"/>
    </row>
    <row r="910" ht="15.75" customHeight="1">
      <c r="D910" s="8"/>
      <c r="E910" s="8"/>
      <c r="F910" s="8"/>
      <c r="G910" s="8"/>
      <c r="H910" s="8"/>
      <c r="I910" s="8"/>
      <c r="J910" s="8"/>
      <c r="K910" s="8"/>
      <c r="M910" s="8"/>
      <c r="N910" s="8"/>
    </row>
    <row r="911" ht="15.75" customHeight="1">
      <c r="D911" s="8"/>
      <c r="E911" s="8"/>
      <c r="F911" s="8"/>
      <c r="G911" s="8"/>
      <c r="H911" s="8"/>
      <c r="I911" s="8"/>
      <c r="J911" s="8"/>
      <c r="K911" s="8"/>
      <c r="M911" s="8"/>
      <c r="N911" s="8"/>
    </row>
    <row r="912" ht="15.75" customHeight="1">
      <c r="D912" s="8"/>
      <c r="E912" s="8"/>
      <c r="F912" s="8"/>
      <c r="G912" s="8"/>
      <c r="H912" s="8"/>
      <c r="I912" s="8"/>
      <c r="J912" s="8"/>
      <c r="K912" s="8"/>
      <c r="M912" s="8"/>
      <c r="N912" s="8"/>
    </row>
    <row r="913" ht="15.75" customHeight="1">
      <c r="D913" s="8"/>
      <c r="E913" s="8"/>
      <c r="F913" s="8"/>
      <c r="G913" s="8"/>
      <c r="H913" s="8"/>
      <c r="I913" s="8"/>
      <c r="J913" s="8"/>
      <c r="K913" s="8"/>
      <c r="M913" s="8"/>
      <c r="N913" s="8"/>
    </row>
    <row r="914" ht="15.75" customHeight="1">
      <c r="D914" s="8"/>
      <c r="E914" s="8"/>
      <c r="F914" s="8"/>
      <c r="G914" s="8"/>
      <c r="H914" s="8"/>
      <c r="I914" s="8"/>
      <c r="J914" s="8"/>
      <c r="K914" s="8"/>
      <c r="M914" s="8"/>
      <c r="N914" s="8"/>
    </row>
    <row r="915" ht="15.75" customHeight="1">
      <c r="D915" s="8"/>
      <c r="E915" s="8"/>
      <c r="F915" s="8"/>
      <c r="G915" s="8"/>
      <c r="H915" s="8"/>
      <c r="I915" s="8"/>
      <c r="J915" s="8"/>
      <c r="K915" s="8"/>
      <c r="M915" s="8"/>
      <c r="N915" s="8"/>
    </row>
    <row r="916" ht="15.75" customHeight="1">
      <c r="D916" s="8"/>
      <c r="E916" s="8"/>
      <c r="F916" s="8"/>
      <c r="G916" s="8"/>
      <c r="H916" s="8"/>
      <c r="I916" s="8"/>
      <c r="J916" s="8"/>
      <c r="K916" s="8"/>
      <c r="M916" s="8"/>
      <c r="N916" s="8"/>
    </row>
    <row r="917" ht="15.75" customHeight="1">
      <c r="D917" s="8"/>
      <c r="E917" s="8"/>
      <c r="F917" s="8"/>
      <c r="G917" s="8"/>
      <c r="H917" s="8"/>
      <c r="I917" s="8"/>
      <c r="J917" s="8"/>
      <c r="K917" s="8"/>
      <c r="M917" s="8"/>
      <c r="N917" s="8"/>
    </row>
    <row r="918" ht="15.75" customHeight="1">
      <c r="D918" s="8"/>
      <c r="E918" s="8"/>
      <c r="F918" s="8"/>
      <c r="G918" s="8"/>
      <c r="H918" s="8"/>
      <c r="I918" s="8"/>
      <c r="J918" s="8"/>
      <c r="K918" s="8"/>
      <c r="M918" s="8"/>
      <c r="N918" s="8"/>
    </row>
    <row r="919" ht="15.75" customHeight="1">
      <c r="D919" s="8"/>
      <c r="E919" s="8"/>
      <c r="F919" s="8"/>
      <c r="G919" s="8"/>
      <c r="H919" s="8"/>
      <c r="I919" s="8"/>
      <c r="J919" s="8"/>
      <c r="K919" s="8"/>
      <c r="M919" s="8"/>
      <c r="N919" s="8"/>
    </row>
    <row r="920" ht="15.75" customHeight="1">
      <c r="D920" s="8"/>
      <c r="E920" s="8"/>
      <c r="F920" s="8"/>
      <c r="G920" s="8"/>
      <c r="H920" s="8"/>
      <c r="I920" s="8"/>
      <c r="J920" s="8"/>
      <c r="K920" s="8"/>
      <c r="M920" s="8"/>
      <c r="N920" s="8"/>
    </row>
    <row r="921" ht="15.75" customHeight="1">
      <c r="D921" s="8"/>
      <c r="E921" s="8"/>
      <c r="F921" s="8"/>
      <c r="G921" s="8"/>
      <c r="H921" s="8"/>
      <c r="I921" s="8"/>
      <c r="J921" s="8"/>
      <c r="K921" s="8"/>
      <c r="M921" s="8"/>
      <c r="N921" s="8"/>
    </row>
    <row r="922" ht="15.75" customHeight="1">
      <c r="D922" s="8"/>
      <c r="E922" s="8"/>
      <c r="F922" s="8"/>
      <c r="G922" s="8"/>
      <c r="H922" s="8"/>
      <c r="I922" s="8"/>
      <c r="J922" s="8"/>
      <c r="K922" s="8"/>
      <c r="M922" s="8"/>
      <c r="N922" s="8"/>
    </row>
    <row r="923" ht="15.75" customHeight="1">
      <c r="D923" s="8"/>
      <c r="E923" s="8"/>
      <c r="F923" s="8"/>
      <c r="G923" s="8"/>
      <c r="H923" s="8"/>
      <c r="I923" s="8"/>
      <c r="J923" s="8"/>
      <c r="K923" s="8"/>
      <c r="M923" s="8"/>
      <c r="N923" s="8"/>
    </row>
    <row r="924" ht="15.75" customHeight="1">
      <c r="D924" s="8"/>
      <c r="E924" s="8"/>
      <c r="F924" s="8"/>
      <c r="G924" s="8"/>
      <c r="H924" s="8"/>
      <c r="I924" s="8"/>
      <c r="J924" s="8"/>
      <c r="K924" s="8"/>
      <c r="M924" s="8"/>
      <c r="N924" s="8"/>
    </row>
    <row r="925" ht="15.75" customHeight="1">
      <c r="D925" s="8"/>
      <c r="E925" s="8"/>
      <c r="F925" s="8"/>
      <c r="G925" s="8"/>
      <c r="H925" s="8"/>
      <c r="I925" s="8"/>
      <c r="J925" s="8"/>
      <c r="K925" s="8"/>
      <c r="M925" s="8"/>
      <c r="N925" s="8"/>
    </row>
    <row r="926" ht="15.75" customHeight="1">
      <c r="D926" s="8"/>
      <c r="E926" s="8"/>
      <c r="F926" s="8"/>
      <c r="G926" s="8"/>
      <c r="H926" s="8"/>
      <c r="I926" s="8"/>
      <c r="J926" s="8"/>
      <c r="K926" s="8"/>
      <c r="M926" s="8"/>
      <c r="N926" s="8"/>
    </row>
    <row r="927" ht="15.75" customHeight="1">
      <c r="D927" s="8"/>
      <c r="E927" s="8"/>
      <c r="F927" s="8"/>
      <c r="G927" s="8"/>
      <c r="H927" s="8"/>
      <c r="I927" s="8"/>
      <c r="J927" s="8"/>
      <c r="K927" s="8"/>
      <c r="M927" s="8"/>
      <c r="N927" s="8"/>
    </row>
    <row r="928" ht="15.75" customHeight="1">
      <c r="D928" s="8"/>
      <c r="E928" s="8"/>
      <c r="F928" s="8"/>
      <c r="G928" s="8"/>
      <c r="H928" s="8"/>
      <c r="I928" s="8"/>
      <c r="J928" s="8"/>
      <c r="K928" s="8"/>
      <c r="M928" s="8"/>
      <c r="N928" s="8"/>
    </row>
    <row r="929" ht="15.75" customHeight="1">
      <c r="D929" s="8"/>
      <c r="E929" s="8"/>
      <c r="F929" s="8"/>
      <c r="G929" s="8"/>
      <c r="H929" s="8"/>
      <c r="I929" s="8"/>
      <c r="J929" s="8"/>
      <c r="K929" s="8"/>
      <c r="M929" s="8"/>
      <c r="N929" s="8"/>
    </row>
    <row r="930" ht="15.75" customHeight="1">
      <c r="D930" s="8"/>
      <c r="E930" s="8"/>
      <c r="F930" s="8"/>
      <c r="G930" s="8"/>
      <c r="H930" s="8"/>
      <c r="I930" s="8"/>
      <c r="J930" s="8"/>
      <c r="K930" s="8"/>
      <c r="M930" s="8"/>
      <c r="N930" s="8"/>
    </row>
    <row r="931" ht="15.75" customHeight="1">
      <c r="D931" s="8"/>
      <c r="E931" s="8"/>
      <c r="F931" s="8"/>
      <c r="G931" s="8"/>
      <c r="H931" s="8"/>
      <c r="I931" s="8"/>
      <c r="J931" s="8"/>
      <c r="K931" s="8"/>
      <c r="M931" s="8"/>
      <c r="N931" s="8"/>
    </row>
    <row r="932" ht="15.75" customHeight="1">
      <c r="D932" s="8"/>
      <c r="E932" s="8"/>
      <c r="F932" s="8"/>
      <c r="G932" s="8"/>
      <c r="H932" s="8"/>
      <c r="I932" s="8"/>
      <c r="J932" s="8"/>
      <c r="K932" s="8"/>
      <c r="M932" s="8"/>
      <c r="N932" s="8"/>
    </row>
    <row r="933" ht="15.75" customHeight="1">
      <c r="D933" s="8"/>
      <c r="E933" s="8"/>
      <c r="F933" s="8"/>
      <c r="G933" s="8"/>
      <c r="H933" s="8"/>
      <c r="I933" s="8"/>
      <c r="J933" s="8"/>
      <c r="K933" s="8"/>
      <c r="M933" s="8"/>
      <c r="N933" s="8"/>
    </row>
    <row r="934" ht="15.75" customHeight="1">
      <c r="D934" s="8"/>
      <c r="E934" s="8"/>
      <c r="F934" s="8"/>
      <c r="G934" s="8"/>
      <c r="H934" s="8"/>
      <c r="I934" s="8"/>
      <c r="J934" s="8"/>
      <c r="K934" s="8"/>
      <c r="M934" s="8"/>
      <c r="N934" s="8"/>
    </row>
    <row r="935" ht="15.75" customHeight="1">
      <c r="D935" s="8"/>
      <c r="E935" s="8"/>
      <c r="F935" s="8"/>
      <c r="G935" s="8"/>
      <c r="H935" s="8"/>
      <c r="I935" s="8"/>
      <c r="J935" s="8"/>
      <c r="K935" s="8"/>
      <c r="M935" s="8"/>
      <c r="N935" s="8"/>
    </row>
    <row r="936" ht="15.75" customHeight="1">
      <c r="D936" s="8"/>
      <c r="E936" s="8"/>
      <c r="F936" s="8"/>
      <c r="G936" s="8"/>
      <c r="H936" s="8"/>
      <c r="I936" s="8"/>
      <c r="J936" s="8"/>
      <c r="K936" s="8"/>
      <c r="M936" s="8"/>
      <c r="N936" s="8"/>
    </row>
    <row r="937" ht="15.75" customHeight="1">
      <c r="D937" s="8"/>
      <c r="E937" s="8"/>
      <c r="F937" s="8"/>
      <c r="G937" s="8"/>
      <c r="H937" s="8"/>
      <c r="I937" s="8"/>
      <c r="J937" s="8"/>
      <c r="K937" s="8"/>
      <c r="M937" s="8"/>
      <c r="N937" s="8"/>
    </row>
    <row r="938" ht="15.75" customHeight="1">
      <c r="D938" s="8"/>
      <c r="E938" s="8"/>
      <c r="F938" s="8"/>
      <c r="G938" s="8"/>
      <c r="H938" s="8"/>
      <c r="I938" s="8"/>
      <c r="J938" s="8"/>
      <c r="K938" s="8"/>
      <c r="M938" s="8"/>
      <c r="N938" s="8"/>
    </row>
    <row r="939" ht="15.75" customHeight="1">
      <c r="D939" s="8"/>
      <c r="E939" s="8"/>
      <c r="F939" s="8"/>
      <c r="G939" s="8"/>
      <c r="H939" s="8"/>
      <c r="I939" s="8"/>
      <c r="J939" s="8"/>
      <c r="K939" s="8"/>
      <c r="M939" s="8"/>
      <c r="N939" s="8"/>
    </row>
    <row r="940" ht="15.75" customHeight="1">
      <c r="D940" s="8"/>
      <c r="E940" s="8"/>
      <c r="F940" s="8"/>
      <c r="G940" s="8"/>
      <c r="H940" s="8"/>
      <c r="I940" s="8"/>
      <c r="J940" s="8"/>
      <c r="K940" s="8"/>
      <c r="M940" s="8"/>
      <c r="N940" s="8"/>
    </row>
    <row r="941" ht="15.75" customHeight="1">
      <c r="D941" s="8"/>
      <c r="E941" s="8"/>
      <c r="F941" s="8"/>
      <c r="G941" s="8"/>
      <c r="H941" s="8"/>
      <c r="I941" s="8"/>
      <c r="J941" s="8"/>
      <c r="K941" s="8"/>
      <c r="M941" s="8"/>
      <c r="N941" s="8"/>
    </row>
    <row r="942" ht="15.75" customHeight="1">
      <c r="D942" s="8"/>
      <c r="E942" s="8"/>
      <c r="F942" s="8"/>
      <c r="G942" s="8"/>
      <c r="H942" s="8"/>
      <c r="I942" s="8"/>
      <c r="J942" s="8"/>
      <c r="K942" s="8"/>
      <c r="M942" s="8"/>
      <c r="N942" s="8"/>
    </row>
    <row r="943" ht="15.75" customHeight="1">
      <c r="D943" s="8"/>
      <c r="E943" s="8"/>
      <c r="F943" s="8"/>
      <c r="G943" s="8"/>
      <c r="H943" s="8"/>
      <c r="I943" s="8"/>
      <c r="J943" s="8"/>
      <c r="K943" s="8"/>
      <c r="M943" s="8"/>
      <c r="N943" s="8"/>
    </row>
    <row r="944" ht="15.75" customHeight="1">
      <c r="D944" s="8"/>
      <c r="E944" s="8"/>
      <c r="F944" s="8"/>
      <c r="G944" s="8"/>
      <c r="H944" s="8"/>
      <c r="I944" s="8"/>
      <c r="J944" s="8"/>
      <c r="K944" s="8"/>
      <c r="M944" s="8"/>
      <c r="N944" s="8"/>
    </row>
    <row r="945" ht="15.75" customHeight="1">
      <c r="D945" s="8"/>
      <c r="E945" s="8"/>
      <c r="F945" s="8"/>
      <c r="G945" s="8"/>
      <c r="H945" s="8"/>
      <c r="I945" s="8"/>
      <c r="J945" s="8"/>
      <c r="K945" s="8"/>
      <c r="M945" s="8"/>
      <c r="N945" s="8"/>
    </row>
    <row r="946" ht="15.75" customHeight="1">
      <c r="D946" s="8"/>
      <c r="E946" s="8"/>
      <c r="F946" s="8"/>
      <c r="G946" s="8"/>
      <c r="H946" s="8"/>
      <c r="I946" s="8"/>
      <c r="J946" s="8"/>
      <c r="K946" s="8"/>
      <c r="M946" s="8"/>
      <c r="N946" s="8"/>
    </row>
    <row r="947" ht="15.75" customHeight="1">
      <c r="D947" s="8"/>
      <c r="E947" s="8"/>
      <c r="F947" s="8"/>
      <c r="G947" s="8"/>
      <c r="H947" s="8"/>
      <c r="I947" s="8"/>
      <c r="J947" s="8"/>
      <c r="K947" s="8"/>
      <c r="M947" s="8"/>
      <c r="N947" s="8"/>
    </row>
    <row r="948" ht="15.75" customHeight="1">
      <c r="D948" s="8"/>
      <c r="E948" s="8"/>
      <c r="F948" s="8"/>
      <c r="G948" s="8"/>
      <c r="H948" s="8"/>
      <c r="I948" s="8"/>
      <c r="J948" s="8"/>
      <c r="K948" s="8"/>
      <c r="M948" s="8"/>
      <c r="N948" s="8"/>
    </row>
    <row r="949" ht="15.75" customHeight="1">
      <c r="D949" s="8"/>
      <c r="E949" s="8"/>
      <c r="F949" s="8"/>
      <c r="G949" s="8"/>
      <c r="H949" s="8"/>
      <c r="I949" s="8"/>
      <c r="J949" s="8"/>
      <c r="K949" s="8"/>
      <c r="M949" s="8"/>
      <c r="N949" s="8"/>
    </row>
    <row r="950" ht="15.75" customHeight="1">
      <c r="D950" s="8"/>
      <c r="E950" s="8"/>
      <c r="F950" s="8"/>
      <c r="G950" s="8"/>
      <c r="H950" s="8"/>
      <c r="I950" s="8"/>
      <c r="J950" s="8"/>
      <c r="K950" s="8"/>
      <c r="M950" s="8"/>
      <c r="N950" s="8"/>
    </row>
    <row r="951" ht="15.75" customHeight="1">
      <c r="D951" s="8"/>
      <c r="E951" s="8"/>
      <c r="F951" s="8"/>
      <c r="G951" s="8"/>
      <c r="H951" s="8"/>
      <c r="I951" s="8"/>
      <c r="J951" s="8"/>
      <c r="K951" s="8"/>
      <c r="M951" s="8"/>
      <c r="N951" s="8"/>
    </row>
    <row r="952" ht="15.75" customHeight="1">
      <c r="D952" s="8"/>
      <c r="E952" s="8"/>
      <c r="F952" s="8"/>
      <c r="G952" s="8"/>
      <c r="H952" s="8"/>
      <c r="I952" s="8"/>
      <c r="J952" s="8"/>
      <c r="K952" s="8"/>
      <c r="M952" s="8"/>
      <c r="N952" s="8"/>
    </row>
    <row r="953" ht="15.75" customHeight="1">
      <c r="D953" s="8"/>
      <c r="E953" s="8"/>
      <c r="F953" s="8"/>
      <c r="G953" s="8"/>
      <c r="H953" s="8"/>
      <c r="I953" s="8"/>
      <c r="J953" s="8"/>
      <c r="K953" s="8"/>
      <c r="M953" s="8"/>
      <c r="N953" s="8"/>
    </row>
    <row r="954" ht="15.75" customHeight="1">
      <c r="D954" s="8"/>
      <c r="E954" s="8"/>
      <c r="F954" s="8"/>
      <c r="G954" s="8"/>
      <c r="H954" s="8"/>
      <c r="I954" s="8"/>
      <c r="J954" s="8"/>
      <c r="K954" s="8"/>
      <c r="M954" s="8"/>
      <c r="N954" s="8"/>
    </row>
    <row r="955" ht="15.75" customHeight="1">
      <c r="D955" s="8"/>
      <c r="E955" s="8"/>
      <c r="F955" s="8"/>
      <c r="G955" s="8"/>
      <c r="H955" s="8"/>
      <c r="I955" s="8"/>
      <c r="J955" s="8"/>
      <c r="K955" s="8"/>
      <c r="M955" s="8"/>
      <c r="N955" s="8"/>
    </row>
    <row r="956" ht="15.75" customHeight="1">
      <c r="D956" s="8"/>
      <c r="E956" s="8"/>
      <c r="F956" s="8"/>
      <c r="G956" s="8"/>
      <c r="H956" s="8"/>
      <c r="I956" s="8"/>
      <c r="J956" s="8"/>
      <c r="K956" s="8"/>
      <c r="M956" s="8"/>
      <c r="N956" s="8"/>
    </row>
    <row r="957" ht="15.75" customHeight="1">
      <c r="D957" s="8"/>
      <c r="E957" s="8"/>
      <c r="F957" s="8"/>
      <c r="G957" s="8"/>
      <c r="H957" s="8"/>
      <c r="I957" s="8"/>
      <c r="J957" s="8"/>
      <c r="K957" s="8"/>
      <c r="M957" s="8"/>
      <c r="N957" s="8"/>
    </row>
    <row r="958" ht="15.75" customHeight="1">
      <c r="D958" s="8"/>
      <c r="E958" s="8"/>
      <c r="F958" s="8"/>
      <c r="G958" s="8"/>
      <c r="H958" s="8"/>
      <c r="I958" s="8"/>
      <c r="J958" s="8"/>
      <c r="K958" s="8"/>
      <c r="M958" s="8"/>
      <c r="N958" s="8"/>
    </row>
    <row r="959" ht="15.75" customHeight="1">
      <c r="D959" s="8"/>
      <c r="E959" s="8"/>
      <c r="F959" s="8"/>
      <c r="G959" s="8"/>
      <c r="H959" s="8"/>
      <c r="I959" s="8"/>
      <c r="J959" s="8"/>
      <c r="K959" s="8"/>
      <c r="M959" s="8"/>
      <c r="N959" s="8"/>
    </row>
    <row r="960" ht="15.75" customHeight="1">
      <c r="D960" s="8"/>
      <c r="E960" s="8"/>
      <c r="F960" s="8"/>
      <c r="G960" s="8"/>
      <c r="H960" s="8"/>
      <c r="I960" s="8"/>
      <c r="J960" s="8"/>
      <c r="K960" s="8"/>
      <c r="M960" s="8"/>
      <c r="N960" s="8"/>
    </row>
    <row r="961" ht="15.75" customHeight="1">
      <c r="D961" s="8"/>
      <c r="E961" s="8"/>
      <c r="F961" s="8"/>
      <c r="G961" s="8"/>
      <c r="H961" s="8"/>
      <c r="I961" s="8"/>
      <c r="J961" s="8"/>
      <c r="K961" s="8"/>
      <c r="M961" s="8"/>
      <c r="N961" s="8"/>
    </row>
    <row r="962" ht="15.75" customHeight="1">
      <c r="D962" s="8"/>
      <c r="E962" s="8"/>
      <c r="F962" s="8"/>
      <c r="G962" s="8"/>
      <c r="H962" s="8"/>
      <c r="I962" s="8"/>
      <c r="J962" s="8"/>
      <c r="K962" s="8"/>
      <c r="M962" s="8"/>
      <c r="N962" s="8"/>
    </row>
    <row r="963" ht="15.75" customHeight="1">
      <c r="D963" s="8"/>
      <c r="E963" s="8"/>
      <c r="F963" s="8"/>
      <c r="G963" s="8"/>
      <c r="H963" s="8"/>
      <c r="I963" s="8"/>
      <c r="J963" s="8"/>
      <c r="K963" s="8"/>
      <c r="M963" s="8"/>
      <c r="N963" s="8"/>
    </row>
    <row r="964" ht="15.75" customHeight="1">
      <c r="D964" s="8"/>
      <c r="E964" s="8"/>
      <c r="F964" s="8"/>
      <c r="G964" s="8"/>
      <c r="H964" s="8"/>
      <c r="I964" s="8"/>
      <c r="J964" s="8"/>
      <c r="K964" s="8"/>
      <c r="M964" s="8"/>
      <c r="N964" s="8"/>
    </row>
    <row r="965" ht="15.75" customHeight="1">
      <c r="D965" s="8"/>
      <c r="E965" s="8"/>
      <c r="F965" s="8"/>
      <c r="G965" s="8"/>
      <c r="H965" s="8"/>
      <c r="I965" s="8"/>
      <c r="J965" s="8"/>
      <c r="K965" s="8"/>
      <c r="M965" s="8"/>
      <c r="N965" s="8"/>
    </row>
    <row r="966" ht="15.75" customHeight="1">
      <c r="D966" s="8"/>
      <c r="E966" s="8"/>
      <c r="F966" s="8"/>
      <c r="G966" s="8"/>
      <c r="H966" s="8"/>
      <c r="I966" s="8"/>
      <c r="J966" s="8"/>
      <c r="K966" s="8"/>
      <c r="M966" s="8"/>
      <c r="N966" s="8"/>
    </row>
    <row r="967" ht="15.75" customHeight="1">
      <c r="D967" s="8"/>
      <c r="E967" s="8"/>
      <c r="F967" s="8"/>
      <c r="G967" s="8"/>
      <c r="H967" s="8"/>
      <c r="I967" s="8"/>
      <c r="J967" s="8"/>
      <c r="K967" s="8"/>
      <c r="M967" s="8"/>
      <c r="N967" s="8"/>
    </row>
    <row r="968" ht="15.75" customHeight="1">
      <c r="D968" s="8"/>
      <c r="E968" s="8"/>
      <c r="F968" s="8"/>
      <c r="G968" s="8"/>
      <c r="H968" s="8"/>
      <c r="I968" s="8"/>
      <c r="J968" s="8"/>
      <c r="K968" s="8"/>
      <c r="M968" s="8"/>
      <c r="N968" s="8"/>
    </row>
    <row r="969" ht="15.75" customHeight="1">
      <c r="D969" s="8"/>
      <c r="E969" s="8"/>
      <c r="F969" s="8"/>
      <c r="G969" s="8"/>
      <c r="H969" s="8"/>
      <c r="I969" s="8"/>
      <c r="J969" s="8"/>
      <c r="K969" s="8"/>
      <c r="M969" s="8"/>
      <c r="N969" s="8"/>
    </row>
    <row r="970" ht="15.75" customHeight="1">
      <c r="D970" s="8"/>
      <c r="E970" s="8"/>
      <c r="F970" s="8"/>
      <c r="G970" s="8"/>
      <c r="H970" s="8"/>
      <c r="I970" s="8"/>
      <c r="J970" s="8"/>
      <c r="K970" s="8"/>
      <c r="M970" s="8"/>
      <c r="N970" s="8"/>
    </row>
    <row r="971" ht="15.75" customHeight="1">
      <c r="D971" s="8"/>
      <c r="E971" s="8"/>
      <c r="F971" s="8"/>
      <c r="G971" s="8"/>
      <c r="H971" s="8"/>
      <c r="I971" s="8"/>
      <c r="J971" s="8"/>
      <c r="K971" s="8"/>
      <c r="M971" s="8"/>
      <c r="N971" s="8"/>
    </row>
    <row r="972" ht="15.75" customHeight="1">
      <c r="D972" s="8"/>
      <c r="E972" s="8"/>
      <c r="F972" s="8"/>
      <c r="G972" s="8"/>
      <c r="H972" s="8"/>
      <c r="I972" s="8"/>
      <c r="J972" s="8"/>
      <c r="K972" s="8"/>
      <c r="M972" s="8"/>
      <c r="N972" s="8"/>
    </row>
    <row r="973" ht="15.75" customHeight="1">
      <c r="D973" s="8"/>
      <c r="E973" s="8"/>
      <c r="F973" s="8"/>
      <c r="G973" s="8"/>
      <c r="H973" s="8"/>
      <c r="I973" s="8"/>
      <c r="J973" s="8"/>
      <c r="K973" s="8"/>
      <c r="M973" s="8"/>
      <c r="N973" s="8"/>
    </row>
    <row r="974" ht="15.75" customHeight="1">
      <c r="D974" s="8"/>
      <c r="E974" s="8"/>
      <c r="F974" s="8"/>
      <c r="G974" s="8"/>
      <c r="H974" s="8"/>
      <c r="I974" s="8"/>
      <c r="J974" s="8"/>
      <c r="K974" s="8"/>
      <c r="M974" s="8"/>
      <c r="N974" s="8"/>
    </row>
    <row r="975" ht="15.75" customHeight="1">
      <c r="D975" s="8"/>
      <c r="E975" s="8"/>
      <c r="F975" s="8"/>
      <c r="G975" s="8"/>
      <c r="H975" s="8"/>
      <c r="I975" s="8"/>
      <c r="J975" s="8"/>
      <c r="K975" s="8"/>
      <c r="M975" s="8"/>
      <c r="N975" s="8"/>
    </row>
    <row r="976" ht="15.75" customHeight="1">
      <c r="D976" s="8"/>
      <c r="E976" s="8"/>
      <c r="F976" s="8"/>
      <c r="G976" s="8"/>
      <c r="H976" s="8"/>
      <c r="I976" s="8"/>
      <c r="J976" s="8"/>
      <c r="K976" s="8"/>
      <c r="M976" s="8"/>
      <c r="N976" s="8"/>
    </row>
    <row r="977" ht="15.75" customHeight="1">
      <c r="D977" s="8"/>
      <c r="E977" s="8"/>
      <c r="F977" s="8"/>
      <c r="G977" s="8"/>
      <c r="H977" s="8"/>
      <c r="I977" s="8"/>
      <c r="J977" s="8"/>
      <c r="K977" s="8"/>
      <c r="M977" s="8"/>
      <c r="N977" s="8"/>
    </row>
    <row r="978" ht="15.75" customHeight="1">
      <c r="D978" s="8"/>
      <c r="E978" s="8"/>
      <c r="F978" s="8"/>
      <c r="G978" s="8"/>
      <c r="H978" s="8"/>
      <c r="I978" s="8"/>
      <c r="J978" s="8"/>
      <c r="K978" s="8"/>
      <c r="M978" s="8"/>
      <c r="N978" s="8"/>
    </row>
    <row r="979" ht="15.75" customHeight="1">
      <c r="D979" s="8"/>
      <c r="E979" s="8"/>
      <c r="F979" s="8"/>
      <c r="G979" s="8"/>
      <c r="H979" s="8"/>
      <c r="I979" s="8"/>
      <c r="J979" s="8"/>
      <c r="K979" s="8"/>
      <c r="M979" s="8"/>
      <c r="N979" s="8"/>
    </row>
    <row r="980" ht="15.75" customHeight="1">
      <c r="D980" s="8"/>
      <c r="E980" s="8"/>
      <c r="F980" s="8"/>
      <c r="G980" s="8"/>
      <c r="H980" s="8"/>
      <c r="I980" s="8"/>
      <c r="J980" s="8"/>
      <c r="K980" s="8"/>
      <c r="M980" s="8"/>
      <c r="N980" s="8"/>
    </row>
    <row r="981" ht="15.75" customHeight="1">
      <c r="D981" s="8"/>
      <c r="E981" s="8"/>
      <c r="F981" s="8"/>
      <c r="G981" s="8"/>
      <c r="H981" s="8"/>
      <c r="I981" s="8"/>
      <c r="J981" s="8"/>
      <c r="K981" s="8"/>
      <c r="M981" s="8"/>
      <c r="N981" s="8"/>
    </row>
    <row r="982" ht="15.75" customHeight="1">
      <c r="D982" s="8"/>
      <c r="E982" s="8"/>
      <c r="F982" s="8"/>
      <c r="G982" s="8"/>
      <c r="H982" s="8"/>
      <c r="I982" s="8"/>
      <c r="J982" s="8"/>
      <c r="K982" s="8"/>
      <c r="M982" s="8"/>
      <c r="N982" s="8"/>
    </row>
    <row r="983" ht="15.75" customHeight="1">
      <c r="D983" s="8"/>
      <c r="E983" s="8"/>
      <c r="F983" s="8"/>
      <c r="G983" s="8"/>
      <c r="H983" s="8"/>
      <c r="I983" s="8"/>
      <c r="J983" s="8"/>
      <c r="K983" s="8"/>
      <c r="M983" s="8"/>
      <c r="N983" s="8"/>
    </row>
    <row r="984" ht="15.75" customHeight="1">
      <c r="D984" s="8"/>
      <c r="E984" s="8"/>
      <c r="F984" s="8"/>
      <c r="G984" s="8"/>
      <c r="H984" s="8"/>
      <c r="I984" s="8"/>
      <c r="J984" s="8"/>
      <c r="K984" s="8"/>
      <c r="M984" s="8"/>
      <c r="N984" s="8"/>
    </row>
    <row r="985" ht="15.75" customHeight="1">
      <c r="D985" s="8"/>
      <c r="E985" s="8"/>
      <c r="F985" s="8"/>
      <c r="G985" s="8"/>
      <c r="H985" s="8"/>
      <c r="I985" s="8"/>
      <c r="J985" s="8"/>
      <c r="K985" s="8"/>
      <c r="M985" s="8"/>
      <c r="N985" s="8"/>
    </row>
    <row r="986" ht="15.75" customHeight="1">
      <c r="D986" s="8"/>
      <c r="E986" s="8"/>
      <c r="F986" s="8"/>
      <c r="G986" s="8"/>
      <c r="H986" s="8"/>
      <c r="I986" s="8"/>
      <c r="J986" s="8"/>
      <c r="K986" s="8"/>
      <c r="M986" s="8"/>
      <c r="N986" s="8"/>
    </row>
    <row r="987" ht="15.75" customHeight="1">
      <c r="D987" s="8"/>
      <c r="E987" s="8"/>
      <c r="F987" s="8"/>
      <c r="G987" s="8"/>
      <c r="H987" s="8"/>
      <c r="I987" s="8"/>
      <c r="J987" s="8"/>
      <c r="K987" s="8"/>
      <c r="M987" s="8"/>
      <c r="N987" s="8"/>
    </row>
    <row r="988" ht="15.75" customHeight="1">
      <c r="D988" s="8"/>
      <c r="E988" s="8"/>
      <c r="F988" s="8"/>
      <c r="G988" s="8"/>
      <c r="H988" s="8"/>
      <c r="I988" s="8"/>
      <c r="J988" s="8"/>
      <c r="K988" s="8"/>
      <c r="M988" s="8"/>
      <c r="N988" s="8"/>
    </row>
    <row r="989" ht="15.75" customHeight="1">
      <c r="D989" s="8"/>
      <c r="E989" s="8"/>
      <c r="F989" s="8"/>
      <c r="G989" s="8"/>
      <c r="H989" s="8"/>
      <c r="I989" s="8"/>
      <c r="J989" s="8"/>
      <c r="K989" s="8"/>
      <c r="M989" s="8"/>
      <c r="N989" s="8"/>
    </row>
    <row r="990" ht="15.75" customHeight="1">
      <c r="D990" s="8"/>
      <c r="E990" s="8"/>
      <c r="F990" s="8"/>
      <c r="G990" s="8"/>
      <c r="H990" s="8"/>
      <c r="I990" s="8"/>
      <c r="J990" s="8"/>
      <c r="K990" s="8"/>
      <c r="M990" s="8"/>
      <c r="N990" s="8"/>
    </row>
    <row r="991" ht="15.75" customHeight="1">
      <c r="D991" s="8"/>
      <c r="E991" s="8"/>
      <c r="F991" s="8"/>
      <c r="G991" s="8"/>
      <c r="H991" s="8"/>
      <c r="I991" s="8"/>
      <c r="J991" s="8"/>
      <c r="K991" s="8"/>
      <c r="M991" s="8"/>
      <c r="N991" s="8"/>
    </row>
    <row r="992" ht="15.75" customHeight="1">
      <c r="D992" s="8"/>
      <c r="E992" s="8"/>
      <c r="F992" s="8"/>
      <c r="G992" s="8"/>
      <c r="H992" s="8"/>
      <c r="I992" s="8"/>
      <c r="J992" s="8"/>
      <c r="K992" s="8"/>
      <c r="M992" s="8"/>
      <c r="N992" s="8"/>
    </row>
    <row r="993" ht="15.75" customHeight="1">
      <c r="D993" s="8"/>
      <c r="E993" s="8"/>
      <c r="F993" s="8"/>
      <c r="G993" s="8"/>
      <c r="H993" s="8"/>
      <c r="I993" s="8"/>
      <c r="J993" s="8"/>
      <c r="K993" s="8"/>
      <c r="M993" s="8"/>
      <c r="N993" s="8"/>
    </row>
    <row r="994" ht="15.75" customHeight="1">
      <c r="D994" s="8"/>
      <c r="E994" s="8"/>
      <c r="F994" s="8"/>
      <c r="G994" s="8"/>
      <c r="H994" s="8"/>
      <c r="I994" s="8"/>
      <c r="J994" s="8"/>
      <c r="K994" s="8"/>
      <c r="M994" s="8"/>
      <c r="N994" s="8"/>
    </row>
    <row r="995" ht="15.75" customHeight="1">
      <c r="D995" s="8"/>
      <c r="E995" s="8"/>
      <c r="F995" s="8"/>
      <c r="G995" s="8"/>
      <c r="H995" s="8"/>
      <c r="I995" s="8"/>
      <c r="J995" s="8"/>
      <c r="K995" s="8"/>
      <c r="M995" s="8"/>
      <c r="N995" s="8"/>
    </row>
    <row r="996" ht="15.75" customHeight="1">
      <c r="D996" s="8"/>
      <c r="E996" s="8"/>
      <c r="F996" s="8"/>
      <c r="G996" s="8"/>
      <c r="H996" s="8"/>
      <c r="I996" s="8"/>
      <c r="J996" s="8"/>
      <c r="K996" s="8"/>
      <c r="M996" s="8"/>
      <c r="N996" s="8"/>
    </row>
    <row r="997" ht="15.75" customHeight="1">
      <c r="D997" s="8"/>
      <c r="E997" s="8"/>
      <c r="F997" s="8"/>
      <c r="G997" s="8"/>
      <c r="H997" s="8"/>
      <c r="I997" s="8"/>
      <c r="J997" s="8"/>
      <c r="K997" s="8"/>
      <c r="M997" s="8"/>
      <c r="N997" s="8"/>
    </row>
    <row r="998" ht="15.75" customHeight="1">
      <c r="D998" s="8"/>
      <c r="E998" s="8"/>
      <c r="F998" s="8"/>
      <c r="G998" s="8"/>
      <c r="H998" s="8"/>
      <c r="I998" s="8"/>
      <c r="J998" s="8"/>
      <c r="K998" s="8"/>
      <c r="M998" s="8"/>
      <c r="N998" s="8"/>
    </row>
    <row r="999" ht="15.75" customHeight="1">
      <c r="D999" s="8"/>
      <c r="E999" s="8"/>
      <c r="F999" s="8"/>
      <c r="G999" s="8"/>
      <c r="H999" s="8"/>
      <c r="I999" s="8"/>
      <c r="J999" s="8"/>
      <c r="K999" s="8"/>
      <c r="M999" s="8"/>
      <c r="N999" s="8"/>
    </row>
    <row r="1000" ht="15.75" customHeight="1">
      <c r="D1000" s="8"/>
      <c r="E1000" s="8"/>
      <c r="F1000" s="8"/>
      <c r="G1000" s="8"/>
      <c r="H1000" s="8"/>
      <c r="I1000" s="8"/>
      <c r="J1000" s="8"/>
      <c r="K1000" s="8"/>
      <c r="M1000" s="8"/>
      <c r="N1000" s="8"/>
    </row>
  </sheetData>
  <mergeCells count="4">
    <mergeCell ref="D3:E3"/>
    <mergeCell ref="F3:H3"/>
    <mergeCell ref="I3:K3"/>
    <mergeCell ref="M3:O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12.71"/>
    <col customWidth="1" min="3" max="3" width="9.43"/>
    <col customWidth="1" min="4" max="4" width="46.29"/>
    <col customWidth="1" min="5" max="5" width="14.43"/>
    <col customWidth="1" min="6" max="7" width="10.43"/>
    <col customWidth="1" min="8" max="26" width="8.86"/>
  </cols>
  <sheetData>
    <row r="1">
      <c r="A1" s="73" t="s">
        <v>350</v>
      </c>
      <c r="B1" s="56"/>
      <c r="C1" s="56"/>
      <c r="D1" s="56"/>
      <c r="E1" s="304"/>
      <c r="F1" s="8"/>
      <c r="G1" s="227"/>
    </row>
    <row r="2">
      <c r="A2" s="56" t="s">
        <v>351</v>
      </c>
      <c r="B2" s="56"/>
      <c r="C2" s="56"/>
      <c r="D2" s="56"/>
      <c r="E2" s="304"/>
      <c r="F2" s="8"/>
      <c r="G2" s="227"/>
    </row>
    <row r="3">
      <c r="A3" s="56"/>
      <c r="B3" s="56"/>
      <c r="C3" s="56"/>
      <c r="D3" s="56"/>
      <c r="E3" s="304"/>
      <c r="F3" s="8"/>
      <c r="G3" s="227"/>
      <c r="I3" s="11" t="s">
        <v>352</v>
      </c>
    </row>
    <row r="4">
      <c r="A4" s="1" t="s">
        <v>353</v>
      </c>
      <c r="B4" s="1" t="s">
        <v>354</v>
      </c>
      <c r="C4" s="1" t="s">
        <v>355</v>
      </c>
      <c r="D4" s="3" t="s">
        <v>356</v>
      </c>
      <c r="E4" s="1" t="s">
        <v>357</v>
      </c>
      <c r="F4" s="1" t="s">
        <v>358</v>
      </c>
      <c r="G4" s="305" t="s">
        <v>359</v>
      </c>
      <c r="H4" s="306"/>
      <c r="I4" s="306"/>
      <c r="J4" s="306"/>
      <c r="K4" s="306"/>
      <c r="L4" s="306"/>
      <c r="M4" s="306"/>
      <c r="N4" s="306"/>
      <c r="O4" s="306"/>
      <c r="P4" s="306"/>
      <c r="Q4" s="306"/>
      <c r="R4" s="306"/>
      <c r="S4" s="306"/>
      <c r="T4" s="306"/>
      <c r="U4" s="306"/>
      <c r="V4" s="306"/>
      <c r="W4" s="306"/>
      <c r="X4" s="306"/>
      <c r="Y4" s="306"/>
      <c r="Z4" s="306"/>
    </row>
    <row r="5">
      <c r="A5" s="307" t="str">
        <f>#REF!</f>
        <v>#REF!</v>
      </c>
      <c r="B5" s="309" t="s">
        <v>360</v>
      </c>
      <c r="C5" s="310" t="s">
        <v>361</v>
      </c>
      <c r="D5" s="311" t="str">
        <f>D7</f>
        <v>Highest uncertainty for native fish. Also represent a substantial risk to the tailwater trout fishery, as sustained temperatures of 19oC or higher are unsuitable for trout.</v>
      </c>
      <c r="E5" s="312" t="s">
        <v>362</v>
      </c>
      <c r="F5" s="312" t="s">
        <v>363</v>
      </c>
      <c r="G5" s="313" t="str">
        <f t="shared" ref="G5:G11" si="1">VLOOKUP(A5,#REF!,2)/1000000</f>
        <v>#REF!</v>
      </c>
      <c r="H5" s="306"/>
      <c r="I5" s="306"/>
      <c r="J5" s="306"/>
      <c r="K5" s="306"/>
      <c r="L5" s="306"/>
      <c r="M5" s="306"/>
      <c r="N5" s="306"/>
      <c r="O5" s="306"/>
      <c r="P5" s="306"/>
      <c r="Q5" s="306"/>
      <c r="R5" s="306"/>
      <c r="S5" s="306"/>
      <c r="T5" s="306"/>
      <c r="U5" s="306"/>
      <c r="V5" s="306"/>
      <c r="W5" s="306"/>
      <c r="X5" s="306"/>
      <c r="Y5" s="306"/>
      <c r="Z5" s="306"/>
    </row>
    <row r="6">
      <c r="A6" s="307">
        <v>3425.0</v>
      </c>
      <c r="B6" s="310" t="str">
        <f>B7</f>
        <v>&gt; 18</v>
      </c>
      <c r="C6" s="310" t="s">
        <v>361</v>
      </c>
      <c r="D6" s="311" t="str">
        <f>D7</f>
        <v>Highest uncertainty for native fish. Also represent a substantial risk to the tailwater trout fishery, as sustained temperatures of 19oC or higher are unsuitable for trout.</v>
      </c>
      <c r="E6" s="312" t="str">
        <f t="shared" ref="E6:E7" si="2">E5</f>
        <v>Highly uncertain</v>
      </c>
      <c r="F6" s="312" t="s">
        <v>363</v>
      </c>
      <c r="G6" s="313" t="str">
        <f t="shared" si="1"/>
        <v>#REF!</v>
      </c>
      <c r="H6" s="306"/>
      <c r="I6" s="306"/>
      <c r="J6" s="306"/>
      <c r="K6" s="306"/>
      <c r="L6" s="306"/>
      <c r="M6" s="306"/>
      <c r="N6" s="306"/>
      <c r="O6" s="306"/>
      <c r="P6" s="306"/>
      <c r="Q6" s="306"/>
      <c r="R6" s="306"/>
      <c r="S6" s="306"/>
      <c r="T6" s="306"/>
      <c r="U6" s="306"/>
      <c r="V6" s="306"/>
      <c r="W6" s="306"/>
      <c r="X6" s="306"/>
      <c r="Y6" s="306"/>
      <c r="Z6" s="306"/>
    </row>
    <row r="7">
      <c r="A7" s="314">
        <v>3490.0</v>
      </c>
      <c r="B7" s="315" t="s">
        <v>360</v>
      </c>
      <c r="C7" s="315" t="s">
        <v>364</v>
      </c>
      <c r="D7" s="316" t="s">
        <v>365</v>
      </c>
      <c r="E7" s="310" t="str">
        <f t="shared" si="2"/>
        <v>Highly uncertain</v>
      </c>
      <c r="F7" s="312" t="s">
        <v>363</v>
      </c>
      <c r="G7" s="313" t="str">
        <f t="shared" si="1"/>
        <v>#REF!</v>
      </c>
      <c r="H7" s="306"/>
      <c r="I7" s="306"/>
      <c r="J7" s="306"/>
      <c r="K7" s="306"/>
      <c r="L7" s="306"/>
      <c r="M7" s="306"/>
      <c r="N7" s="306"/>
      <c r="O7" s="306"/>
      <c r="P7" s="306"/>
      <c r="Q7" s="306"/>
      <c r="R7" s="306"/>
      <c r="S7" s="306"/>
      <c r="T7" s="306"/>
      <c r="U7" s="306"/>
      <c r="V7" s="306"/>
      <c r="W7" s="306"/>
      <c r="X7" s="306"/>
      <c r="Y7" s="306"/>
      <c r="Z7" s="306"/>
    </row>
    <row r="8">
      <c r="A8" s="317">
        <v>3525.0</v>
      </c>
      <c r="B8" s="318" t="s">
        <v>366</v>
      </c>
      <c r="C8" s="318" t="s">
        <v>364</v>
      </c>
      <c r="D8" s="319" t="s">
        <v>367</v>
      </c>
      <c r="E8" s="320" t="s">
        <v>368</v>
      </c>
      <c r="F8" s="320" t="s">
        <v>369</v>
      </c>
      <c r="G8" s="321" t="str">
        <f t="shared" si="1"/>
        <v>#REF!</v>
      </c>
    </row>
    <row r="9">
      <c r="A9" s="322">
        <v>3600.0</v>
      </c>
      <c r="B9" s="323" t="s">
        <v>370</v>
      </c>
      <c r="C9" s="323" t="s">
        <v>364</v>
      </c>
      <c r="D9" s="324" t="s">
        <v>371</v>
      </c>
      <c r="E9" s="325" t="s">
        <v>372</v>
      </c>
      <c r="F9" s="325" t="str">
        <f>F8</f>
        <v>Help grow + incubate</v>
      </c>
      <c r="G9" s="326" t="str">
        <f t="shared" si="1"/>
        <v>#REF!</v>
      </c>
    </row>
    <row r="10">
      <c r="A10" s="327">
        <v>3675.0</v>
      </c>
      <c r="B10" s="328" t="s">
        <v>373</v>
      </c>
      <c r="C10" s="328" t="s">
        <v>364</v>
      </c>
      <c r="D10" s="329" t="s">
        <v>374</v>
      </c>
      <c r="E10" s="330" t="s">
        <v>375</v>
      </c>
      <c r="F10" s="330" t="s">
        <v>376</v>
      </c>
      <c r="G10" s="331" t="str">
        <f t="shared" si="1"/>
        <v>#REF!</v>
      </c>
    </row>
    <row r="11">
      <c r="A11" s="327">
        <v>3700.0</v>
      </c>
      <c r="B11" s="328" t="str">
        <f>B10</f>
        <v>&lt; 12</v>
      </c>
      <c r="C11" s="328" t="s">
        <v>364</v>
      </c>
      <c r="D11" s="332" t="str">
        <f t="shared" ref="D11:E11" si="3">D10</f>
        <v>Important for many species’ growth, reproduction, and survival of early life stages. Temperatures below 12oC are within the range that have been observed in the past (Fig-ure 8.5), but these cold releases during the growing season have been associated with native fishes being predominantly pushed into tributary and downstream habitats.</v>
      </c>
      <c r="E11" s="330" t="str">
        <f t="shared" si="3"/>
        <v>Help grow, reproduce, and survive</v>
      </c>
      <c r="F11" s="330" t="s">
        <v>376</v>
      </c>
      <c r="G11" s="331" t="str">
        <f t="shared" si="1"/>
        <v>#REF!</v>
      </c>
    </row>
    <row r="12">
      <c r="A12" s="56"/>
      <c r="B12" s="56"/>
      <c r="C12" s="56"/>
      <c r="D12" s="56"/>
      <c r="E12" s="304"/>
      <c r="F12" s="8"/>
      <c r="G12" s="227"/>
    </row>
    <row r="13">
      <c r="A13" s="56"/>
      <c r="B13" s="56"/>
      <c r="C13" s="56"/>
      <c r="D13" s="333"/>
      <c r="E13" s="304"/>
      <c r="F13" s="8"/>
      <c r="G13" s="227"/>
    </row>
    <row r="14">
      <c r="A14" s="56"/>
      <c r="B14" s="56"/>
      <c r="C14" s="56"/>
      <c r="D14" s="333"/>
      <c r="E14" s="304"/>
      <c r="F14" s="8"/>
      <c r="G14" s="227"/>
    </row>
    <row r="15">
      <c r="A15" s="56"/>
      <c r="B15" s="56"/>
      <c r="C15" s="56"/>
      <c r="D15" s="333"/>
      <c r="E15" s="304"/>
      <c r="F15" s="8"/>
      <c r="G15" s="227"/>
    </row>
    <row r="16">
      <c r="A16" s="56"/>
      <c r="B16" s="56"/>
      <c r="C16" s="56"/>
      <c r="D16" s="56"/>
      <c r="E16" s="304"/>
      <c r="F16" s="8"/>
      <c r="G16" s="227"/>
    </row>
    <row r="17">
      <c r="A17" s="56"/>
      <c r="B17" s="56"/>
      <c r="C17" s="56"/>
      <c r="D17" s="56"/>
      <c r="E17" s="304"/>
      <c r="F17" s="8"/>
      <c r="G17" s="227"/>
    </row>
    <row r="18">
      <c r="A18" s="56"/>
      <c r="B18" s="56"/>
      <c r="C18" s="56"/>
      <c r="D18" s="56"/>
      <c r="E18" s="304"/>
      <c r="F18" s="8"/>
      <c r="G18" s="227"/>
    </row>
    <row r="19">
      <c r="A19" s="56"/>
      <c r="B19" s="56"/>
      <c r="C19" s="56"/>
      <c r="D19" s="56"/>
      <c r="E19" s="304"/>
      <c r="F19" s="8"/>
      <c r="G19" s="227"/>
    </row>
    <row r="20">
      <c r="A20" s="56"/>
      <c r="B20" s="56"/>
      <c r="C20" s="56"/>
      <c r="D20" s="56"/>
      <c r="E20" s="304"/>
      <c r="F20" s="8"/>
      <c r="G20" s="227"/>
    </row>
    <row r="21" ht="15.75" customHeight="1">
      <c r="A21" s="56"/>
      <c r="B21" s="56"/>
      <c r="C21" s="56"/>
      <c r="D21" s="56"/>
      <c r="E21" s="304"/>
      <c r="F21" s="8"/>
      <c r="G21" s="227"/>
    </row>
    <row r="22" ht="15.75" customHeight="1">
      <c r="A22" s="56"/>
      <c r="B22" s="56"/>
      <c r="C22" s="56"/>
      <c r="D22" s="56"/>
      <c r="E22" s="304"/>
      <c r="F22" s="8"/>
      <c r="G22" s="227"/>
    </row>
    <row r="23" ht="15.75" customHeight="1">
      <c r="A23" s="56"/>
      <c r="B23" s="56"/>
      <c r="C23" s="56"/>
      <c r="D23" s="56"/>
      <c r="E23" s="304"/>
      <c r="F23" s="8"/>
      <c r="G23" s="227"/>
    </row>
    <row r="24" ht="15.75" customHeight="1">
      <c r="A24" s="56"/>
      <c r="B24" s="56"/>
      <c r="C24" s="56"/>
      <c r="D24" s="56"/>
      <c r="E24" s="304"/>
      <c r="F24" s="8"/>
      <c r="G24" s="227"/>
    </row>
    <row r="25" ht="15.75" customHeight="1">
      <c r="A25" s="56"/>
      <c r="B25" s="56"/>
      <c r="C25" s="56"/>
      <c r="D25" s="56"/>
      <c r="E25" s="304"/>
      <c r="F25" s="8"/>
      <c r="G25" s="227"/>
    </row>
    <row r="26" ht="15.75" customHeight="1">
      <c r="A26" s="56"/>
      <c r="B26" s="56"/>
      <c r="C26" s="56"/>
      <c r="D26" s="56"/>
      <c r="E26" s="304"/>
      <c r="F26" s="8"/>
      <c r="G26" s="227"/>
    </row>
    <row r="27" ht="15.75" customHeight="1">
      <c r="A27" s="56"/>
      <c r="B27" s="56"/>
      <c r="C27" s="56"/>
      <c r="D27" s="56"/>
      <c r="E27" s="304"/>
      <c r="F27" s="8"/>
      <c r="G27" s="227"/>
    </row>
    <row r="28" ht="15.75" customHeight="1">
      <c r="A28" s="56"/>
      <c r="B28" s="56"/>
      <c r="C28" s="56"/>
      <c r="D28" s="56"/>
      <c r="E28" s="304"/>
      <c r="F28" s="8"/>
      <c r="G28" s="227"/>
    </row>
    <row r="29" ht="15.75" customHeight="1">
      <c r="A29" s="56"/>
      <c r="B29" s="56"/>
      <c r="C29" s="56"/>
      <c r="D29" s="56"/>
      <c r="E29" s="304"/>
      <c r="F29" s="8"/>
      <c r="G29" s="227"/>
    </row>
    <row r="30" ht="15.75" customHeight="1">
      <c r="A30" s="56"/>
      <c r="B30" s="56"/>
      <c r="C30" s="56"/>
      <c r="D30" s="56"/>
      <c r="E30" s="304"/>
      <c r="F30" s="8"/>
      <c r="G30" s="227"/>
    </row>
    <row r="31" ht="15.75" customHeight="1">
      <c r="A31" s="56"/>
      <c r="B31" s="56"/>
      <c r="C31" s="56"/>
      <c r="D31" s="56"/>
      <c r="E31" s="304"/>
      <c r="F31" s="8"/>
      <c r="G31" s="227"/>
    </row>
    <row r="32" ht="15.75" customHeight="1">
      <c r="A32" s="56"/>
      <c r="B32" s="56"/>
      <c r="C32" s="56"/>
      <c r="D32" s="56"/>
      <c r="E32" s="304"/>
      <c r="F32" s="8"/>
      <c r="G32" s="227"/>
    </row>
    <row r="33" ht="15.75" customHeight="1">
      <c r="A33" s="56"/>
      <c r="B33" s="56"/>
      <c r="C33" s="56"/>
      <c r="D33" s="56"/>
      <c r="E33" s="304"/>
      <c r="F33" s="8"/>
      <c r="G33" s="227"/>
    </row>
    <row r="34" ht="15.75" customHeight="1">
      <c r="A34" s="56"/>
      <c r="B34" s="56"/>
      <c r="C34" s="56"/>
      <c r="D34" s="56"/>
      <c r="E34" s="304"/>
      <c r="F34" s="8"/>
      <c r="G34" s="227"/>
    </row>
    <row r="35" ht="15.75" customHeight="1">
      <c r="A35" s="56"/>
      <c r="B35" s="56"/>
      <c r="C35" s="56"/>
      <c r="D35" s="56"/>
      <c r="E35" s="304"/>
      <c r="F35" s="8"/>
      <c r="G35" s="227"/>
    </row>
    <row r="36" ht="15.75" customHeight="1">
      <c r="A36" s="56"/>
      <c r="B36" s="56"/>
      <c r="C36" s="56"/>
      <c r="D36" s="56"/>
      <c r="E36" s="304"/>
      <c r="F36" s="8"/>
      <c r="G36" s="227"/>
    </row>
    <row r="37" ht="15.75" customHeight="1">
      <c r="A37" s="56"/>
      <c r="B37" s="56"/>
      <c r="C37" s="56"/>
      <c r="D37" s="56"/>
      <c r="E37" s="304"/>
      <c r="F37" s="8"/>
      <c r="G37" s="227"/>
    </row>
    <row r="38" ht="15.75" customHeight="1">
      <c r="A38" s="56"/>
      <c r="B38" s="56"/>
      <c r="C38" s="56"/>
      <c r="D38" s="56"/>
      <c r="E38" s="304"/>
      <c r="F38" s="8"/>
      <c r="G38" s="227"/>
    </row>
    <row r="39" ht="15.75" customHeight="1">
      <c r="A39" s="56"/>
      <c r="B39" s="56"/>
      <c r="C39" s="56"/>
      <c r="D39" s="56"/>
      <c r="E39" s="304"/>
      <c r="F39" s="8"/>
      <c r="G39" s="227"/>
    </row>
    <row r="40" ht="15.75" customHeight="1">
      <c r="A40" s="56"/>
      <c r="B40" s="56"/>
      <c r="C40" s="56"/>
      <c r="D40" s="56"/>
      <c r="E40" s="304"/>
      <c r="F40" s="8"/>
      <c r="G40" s="227"/>
    </row>
    <row r="41" ht="15.75" customHeight="1">
      <c r="A41" s="56"/>
      <c r="B41" s="56"/>
      <c r="C41" s="56"/>
      <c r="D41" s="56"/>
      <c r="E41" s="304"/>
      <c r="F41" s="8"/>
      <c r="G41" s="227"/>
    </row>
    <row r="42" ht="15.75" customHeight="1">
      <c r="A42" s="56"/>
      <c r="B42" s="56"/>
      <c r="C42" s="56"/>
      <c r="D42" s="56"/>
      <c r="E42" s="304"/>
      <c r="F42" s="8"/>
      <c r="G42" s="227"/>
    </row>
    <row r="43" ht="15.75" customHeight="1">
      <c r="A43" s="56"/>
      <c r="B43" s="56"/>
      <c r="C43" s="56"/>
      <c r="D43" s="56"/>
      <c r="E43" s="304"/>
      <c r="F43" s="8"/>
      <c r="G43" s="227"/>
    </row>
    <row r="44" ht="15.75" customHeight="1">
      <c r="A44" s="56"/>
      <c r="B44" s="56"/>
      <c r="C44" s="56"/>
      <c r="D44" s="56"/>
      <c r="E44" s="304"/>
      <c r="F44" s="8"/>
      <c r="G44" s="227"/>
    </row>
    <row r="45" ht="15.75" customHeight="1">
      <c r="A45" s="56"/>
      <c r="B45" s="56"/>
      <c r="C45" s="56"/>
      <c r="D45" s="56"/>
      <c r="E45" s="304"/>
      <c r="F45" s="8"/>
      <c r="G45" s="227"/>
    </row>
    <row r="46" ht="15.75" customHeight="1">
      <c r="A46" s="56"/>
      <c r="B46" s="56"/>
      <c r="C46" s="56"/>
      <c r="D46" s="56"/>
      <c r="E46" s="304"/>
      <c r="F46" s="8"/>
      <c r="G46" s="227"/>
    </row>
    <row r="47" ht="15.75" customHeight="1">
      <c r="A47" s="56"/>
      <c r="B47" s="56"/>
      <c r="C47" s="56"/>
      <c r="D47" s="56"/>
      <c r="E47" s="304"/>
      <c r="F47" s="8"/>
      <c r="G47" s="227"/>
    </row>
    <row r="48" ht="15.75" customHeight="1">
      <c r="A48" s="56"/>
      <c r="B48" s="56"/>
      <c r="C48" s="56"/>
      <c r="D48" s="56"/>
      <c r="E48" s="304"/>
      <c r="F48" s="8"/>
      <c r="G48" s="227"/>
    </row>
    <row r="49" ht="15.75" customHeight="1">
      <c r="A49" s="56"/>
      <c r="B49" s="56"/>
      <c r="C49" s="56"/>
      <c r="D49" s="56"/>
      <c r="E49" s="304"/>
      <c r="F49" s="8"/>
      <c r="G49" s="227"/>
    </row>
    <row r="50" ht="15.75" customHeight="1">
      <c r="A50" s="56"/>
      <c r="B50" s="56"/>
      <c r="C50" s="56"/>
      <c r="D50" s="56"/>
      <c r="E50" s="304"/>
      <c r="F50" s="8"/>
      <c r="G50" s="227"/>
    </row>
    <row r="51" ht="15.75" customHeight="1">
      <c r="A51" s="56"/>
      <c r="B51" s="56"/>
      <c r="C51" s="56"/>
      <c r="D51" s="56"/>
      <c r="E51" s="304"/>
      <c r="F51" s="8"/>
      <c r="G51" s="227"/>
    </row>
    <row r="52" ht="15.75" customHeight="1">
      <c r="A52" s="56"/>
      <c r="B52" s="56"/>
      <c r="C52" s="56"/>
      <c r="D52" s="56"/>
      <c r="E52" s="304"/>
      <c r="F52" s="8"/>
      <c r="G52" s="227"/>
    </row>
    <row r="53" ht="15.75" customHeight="1">
      <c r="A53" s="56"/>
      <c r="B53" s="56"/>
      <c r="C53" s="56"/>
      <c r="D53" s="56"/>
      <c r="E53" s="304"/>
      <c r="F53" s="8"/>
      <c r="G53" s="227"/>
    </row>
    <row r="54" ht="15.75" customHeight="1">
      <c r="A54" s="56"/>
      <c r="B54" s="56"/>
      <c r="C54" s="56"/>
      <c r="D54" s="56"/>
      <c r="E54" s="304"/>
      <c r="F54" s="8"/>
      <c r="G54" s="227"/>
    </row>
    <row r="55" ht="15.75" customHeight="1">
      <c r="A55" s="56"/>
      <c r="B55" s="56"/>
      <c r="C55" s="56"/>
      <c r="D55" s="56"/>
      <c r="E55" s="304"/>
      <c r="F55" s="8"/>
      <c r="G55" s="227"/>
    </row>
    <row r="56" ht="15.75" customHeight="1">
      <c r="A56" s="56"/>
      <c r="B56" s="56"/>
      <c r="C56" s="56"/>
      <c r="D56" s="56"/>
      <c r="E56" s="304"/>
      <c r="F56" s="8"/>
      <c r="G56" s="227"/>
    </row>
    <row r="57" ht="15.75" customHeight="1">
      <c r="A57" s="56"/>
      <c r="B57" s="56"/>
      <c r="C57" s="56"/>
      <c r="D57" s="56"/>
      <c r="E57" s="304"/>
      <c r="F57" s="8"/>
      <c r="G57" s="227"/>
    </row>
    <row r="58" ht="15.75" customHeight="1">
      <c r="A58" s="56"/>
      <c r="B58" s="56"/>
      <c r="C58" s="56"/>
      <c r="D58" s="56"/>
      <c r="E58" s="304"/>
      <c r="F58" s="8"/>
      <c r="G58" s="227"/>
    </row>
    <row r="59" ht="15.75" customHeight="1">
      <c r="A59" s="56"/>
      <c r="B59" s="56"/>
      <c r="C59" s="56"/>
      <c r="D59" s="56"/>
      <c r="E59" s="304"/>
      <c r="F59" s="8"/>
      <c r="G59" s="227"/>
    </row>
    <row r="60" ht="15.75" customHeight="1">
      <c r="A60" s="56"/>
      <c r="B60" s="56"/>
      <c r="C60" s="56"/>
      <c r="D60" s="56"/>
      <c r="E60" s="304"/>
      <c r="F60" s="8"/>
      <c r="G60" s="227"/>
    </row>
    <row r="61" ht="15.75" customHeight="1">
      <c r="A61" s="56"/>
      <c r="B61" s="56"/>
      <c r="C61" s="56"/>
      <c r="D61" s="56"/>
      <c r="E61" s="304"/>
      <c r="F61" s="8"/>
      <c r="G61" s="227"/>
    </row>
    <row r="62" ht="15.75" customHeight="1">
      <c r="A62" s="56"/>
      <c r="B62" s="56"/>
      <c r="C62" s="56"/>
      <c r="D62" s="56"/>
      <c r="E62" s="304"/>
      <c r="F62" s="8"/>
      <c r="G62" s="227"/>
    </row>
    <row r="63" ht="15.75" customHeight="1">
      <c r="A63" s="56"/>
      <c r="B63" s="56"/>
      <c r="C63" s="56"/>
      <c r="D63" s="56"/>
      <c r="E63" s="304"/>
      <c r="F63" s="8"/>
      <c r="G63" s="227"/>
    </row>
    <row r="64" ht="15.75" customHeight="1">
      <c r="A64" s="56"/>
      <c r="B64" s="56"/>
      <c r="C64" s="56"/>
      <c r="D64" s="56"/>
      <c r="E64" s="304"/>
      <c r="F64" s="8"/>
      <c r="G64" s="227"/>
    </row>
    <row r="65" ht="15.75" customHeight="1">
      <c r="A65" s="56"/>
      <c r="B65" s="56"/>
      <c r="C65" s="56"/>
      <c r="D65" s="56"/>
      <c r="E65" s="304"/>
      <c r="F65" s="8"/>
      <c r="G65" s="227"/>
    </row>
    <row r="66" ht="15.75" customHeight="1">
      <c r="A66" s="56"/>
      <c r="B66" s="56"/>
      <c r="C66" s="56"/>
      <c r="D66" s="56"/>
      <c r="E66" s="304"/>
      <c r="F66" s="8"/>
      <c r="G66" s="227"/>
    </row>
    <row r="67" ht="15.75" customHeight="1">
      <c r="A67" s="56"/>
      <c r="B67" s="56"/>
      <c r="C67" s="56"/>
      <c r="D67" s="56"/>
      <c r="E67" s="304"/>
      <c r="F67" s="8"/>
      <c r="G67" s="227"/>
    </row>
    <row r="68" ht="15.75" customHeight="1">
      <c r="A68" s="56"/>
      <c r="B68" s="56"/>
      <c r="C68" s="56"/>
      <c r="D68" s="56"/>
      <c r="E68" s="304"/>
      <c r="F68" s="8"/>
      <c r="G68" s="227"/>
    </row>
    <row r="69" ht="15.75" customHeight="1">
      <c r="A69" s="56"/>
      <c r="B69" s="56"/>
      <c r="C69" s="56"/>
      <c r="D69" s="56"/>
      <c r="E69" s="304"/>
      <c r="F69" s="8"/>
      <c r="G69" s="227"/>
    </row>
    <row r="70" ht="15.75" customHeight="1">
      <c r="A70" s="56"/>
      <c r="B70" s="56"/>
      <c r="C70" s="56"/>
      <c r="D70" s="56"/>
      <c r="E70" s="304"/>
      <c r="F70" s="8"/>
      <c r="G70" s="227"/>
    </row>
    <row r="71" ht="15.75" customHeight="1">
      <c r="A71" s="56"/>
      <c r="B71" s="56"/>
      <c r="C71" s="56"/>
      <c r="D71" s="56"/>
      <c r="E71" s="304"/>
      <c r="F71" s="8"/>
      <c r="G71" s="227"/>
    </row>
    <row r="72" ht="15.75" customHeight="1">
      <c r="A72" s="56"/>
      <c r="B72" s="56"/>
      <c r="C72" s="56"/>
      <c r="D72" s="56"/>
      <c r="E72" s="304"/>
      <c r="F72" s="8"/>
      <c r="G72" s="227"/>
    </row>
    <row r="73" ht="15.75" customHeight="1">
      <c r="A73" s="56"/>
      <c r="B73" s="56"/>
      <c r="C73" s="56"/>
      <c r="D73" s="56"/>
      <c r="E73" s="304"/>
      <c r="F73" s="8"/>
      <c r="G73" s="227"/>
    </row>
    <row r="74" ht="15.75" customHeight="1">
      <c r="A74" s="56"/>
      <c r="B74" s="56"/>
      <c r="C74" s="56"/>
      <c r="D74" s="56"/>
      <c r="E74" s="304"/>
      <c r="F74" s="8"/>
      <c r="G74" s="227"/>
    </row>
    <row r="75" ht="15.75" customHeight="1">
      <c r="A75" s="56"/>
      <c r="B75" s="56"/>
      <c r="C75" s="56"/>
      <c r="D75" s="56"/>
      <c r="E75" s="304"/>
      <c r="F75" s="8"/>
      <c r="G75" s="227"/>
    </row>
    <row r="76" ht="15.75" customHeight="1">
      <c r="A76" s="56"/>
      <c r="B76" s="56"/>
      <c r="C76" s="56"/>
      <c r="D76" s="56"/>
      <c r="E76" s="304"/>
      <c r="F76" s="8"/>
      <c r="G76" s="227"/>
    </row>
    <row r="77" ht="15.75" customHeight="1">
      <c r="A77" s="56"/>
      <c r="B77" s="56"/>
      <c r="C77" s="56"/>
      <c r="D77" s="56"/>
      <c r="E77" s="304"/>
      <c r="F77" s="8"/>
      <c r="G77" s="227"/>
    </row>
    <row r="78" ht="15.75" customHeight="1">
      <c r="A78" s="56"/>
      <c r="B78" s="56"/>
      <c r="C78" s="56"/>
      <c r="D78" s="56"/>
      <c r="E78" s="304"/>
      <c r="F78" s="8"/>
      <c r="G78" s="227"/>
    </row>
    <row r="79" ht="15.75" customHeight="1">
      <c r="A79" s="56"/>
      <c r="B79" s="56"/>
      <c r="C79" s="56"/>
      <c r="D79" s="56"/>
      <c r="E79" s="304"/>
      <c r="F79" s="8"/>
      <c r="G79" s="227"/>
    </row>
    <row r="80" ht="15.75" customHeight="1">
      <c r="A80" s="56"/>
      <c r="B80" s="56"/>
      <c r="C80" s="56"/>
      <c r="D80" s="56"/>
      <c r="E80" s="304"/>
      <c r="F80" s="8"/>
      <c r="G80" s="227"/>
    </row>
    <row r="81" ht="15.75" customHeight="1">
      <c r="A81" s="56"/>
      <c r="B81" s="56"/>
      <c r="C81" s="56"/>
      <c r="D81" s="56"/>
      <c r="E81" s="304"/>
      <c r="F81" s="8"/>
      <c r="G81" s="227"/>
    </row>
    <row r="82" ht="15.75" customHeight="1">
      <c r="A82" s="56"/>
      <c r="B82" s="56"/>
      <c r="C82" s="56"/>
      <c r="D82" s="56"/>
      <c r="E82" s="304"/>
      <c r="F82" s="8"/>
      <c r="G82" s="227"/>
    </row>
    <row r="83" ht="15.75" customHeight="1">
      <c r="A83" s="56"/>
      <c r="B83" s="56"/>
      <c r="C83" s="56"/>
      <c r="D83" s="56"/>
      <c r="E83" s="304"/>
      <c r="F83" s="8"/>
      <c r="G83" s="227"/>
    </row>
    <row r="84" ht="15.75" customHeight="1">
      <c r="A84" s="56"/>
      <c r="B84" s="56"/>
      <c r="C84" s="56"/>
      <c r="D84" s="56"/>
      <c r="E84" s="304"/>
      <c r="F84" s="8"/>
      <c r="G84" s="227"/>
    </row>
    <row r="85" ht="15.75" customHeight="1">
      <c r="A85" s="56"/>
      <c r="B85" s="56"/>
      <c r="C85" s="56"/>
      <c r="D85" s="56"/>
      <c r="E85" s="304"/>
      <c r="F85" s="8"/>
      <c r="G85" s="227"/>
    </row>
    <row r="86" ht="15.75" customHeight="1">
      <c r="A86" s="56"/>
      <c r="B86" s="56"/>
      <c r="C86" s="56"/>
      <c r="D86" s="56"/>
      <c r="E86" s="304"/>
      <c r="F86" s="8"/>
      <c r="G86" s="227"/>
    </row>
    <row r="87" ht="15.75" customHeight="1">
      <c r="A87" s="56"/>
      <c r="B87" s="56"/>
      <c r="C87" s="56"/>
      <c r="D87" s="56"/>
      <c r="E87" s="304"/>
      <c r="F87" s="8"/>
      <c r="G87" s="227"/>
    </row>
    <row r="88" ht="15.75" customHeight="1">
      <c r="A88" s="56"/>
      <c r="B88" s="56"/>
      <c r="C88" s="56"/>
      <c r="D88" s="56"/>
      <c r="E88" s="304"/>
      <c r="F88" s="8"/>
      <c r="G88" s="227"/>
    </row>
    <row r="89" ht="15.75" customHeight="1">
      <c r="A89" s="56"/>
      <c r="B89" s="56"/>
      <c r="C89" s="56"/>
      <c r="D89" s="56"/>
      <c r="E89" s="304"/>
      <c r="F89" s="8"/>
      <c r="G89" s="227"/>
    </row>
    <row r="90" ht="15.75" customHeight="1">
      <c r="A90" s="56"/>
      <c r="B90" s="56"/>
      <c r="C90" s="56"/>
      <c r="D90" s="56"/>
      <c r="E90" s="304"/>
      <c r="F90" s="8"/>
      <c r="G90" s="227"/>
    </row>
    <row r="91" ht="15.75" customHeight="1">
      <c r="A91" s="56"/>
      <c r="B91" s="56"/>
      <c r="C91" s="56"/>
      <c r="D91" s="56"/>
      <c r="E91" s="304"/>
      <c r="F91" s="8"/>
      <c r="G91" s="227"/>
    </row>
    <row r="92" ht="15.75" customHeight="1">
      <c r="A92" s="56"/>
      <c r="B92" s="56"/>
      <c r="C92" s="56"/>
      <c r="D92" s="56"/>
      <c r="E92" s="304"/>
      <c r="F92" s="8"/>
      <c r="G92" s="227"/>
    </row>
    <row r="93" ht="15.75" customHeight="1">
      <c r="A93" s="56"/>
      <c r="B93" s="56"/>
      <c r="C93" s="56"/>
      <c r="D93" s="56"/>
      <c r="E93" s="304"/>
      <c r="F93" s="8"/>
      <c r="G93" s="227"/>
    </row>
    <row r="94" ht="15.75" customHeight="1">
      <c r="A94" s="56"/>
      <c r="B94" s="56"/>
      <c r="C94" s="56"/>
      <c r="D94" s="56"/>
      <c r="E94" s="304"/>
      <c r="F94" s="8"/>
      <c r="G94" s="227"/>
    </row>
    <row r="95" ht="15.75" customHeight="1">
      <c r="A95" s="56"/>
      <c r="B95" s="56"/>
      <c r="C95" s="56"/>
      <c r="D95" s="56"/>
      <c r="E95" s="304"/>
      <c r="F95" s="8"/>
      <c r="G95" s="227"/>
    </row>
    <row r="96" ht="15.75" customHeight="1">
      <c r="A96" s="56"/>
      <c r="B96" s="56"/>
      <c r="C96" s="56"/>
      <c r="D96" s="56"/>
      <c r="E96" s="304"/>
      <c r="F96" s="8"/>
      <c r="G96" s="227"/>
    </row>
    <row r="97" ht="15.75" customHeight="1">
      <c r="A97" s="56"/>
      <c r="B97" s="56"/>
      <c r="C97" s="56"/>
      <c r="D97" s="56"/>
      <c r="E97" s="304"/>
      <c r="F97" s="8"/>
      <c r="G97" s="227"/>
    </row>
    <row r="98" ht="15.75" customHeight="1">
      <c r="A98" s="56"/>
      <c r="B98" s="56"/>
      <c r="C98" s="56"/>
      <c r="D98" s="56"/>
      <c r="E98" s="304"/>
      <c r="F98" s="8"/>
      <c r="G98" s="227"/>
    </row>
    <row r="99" ht="15.75" customHeight="1">
      <c r="A99" s="56"/>
      <c r="B99" s="56"/>
      <c r="C99" s="56"/>
      <c r="D99" s="56"/>
      <c r="E99" s="304"/>
      <c r="F99" s="8"/>
      <c r="G99" s="227"/>
    </row>
    <row r="100" ht="15.75" customHeight="1">
      <c r="A100" s="56"/>
      <c r="B100" s="56"/>
      <c r="C100" s="56"/>
      <c r="D100" s="56"/>
      <c r="E100" s="304"/>
      <c r="F100" s="8"/>
      <c r="G100" s="227"/>
    </row>
    <row r="101" ht="15.75" customHeight="1">
      <c r="A101" s="56"/>
      <c r="B101" s="56"/>
      <c r="C101" s="56"/>
      <c r="D101" s="56"/>
      <c r="E101" s="304"/>
      <c r="F101" s="8"/>
      <c r="G101" s="227"/>
    </row>
    <row r="102" ht="15.75" customHeight="1">
      <c r="A102" s="56"/>
      <c r="B102" s="56"/>
      <c r="C102" s="56"/>
      <c r="D102" s="56"/>
      <c r="E102" s="304"/>
      <c r="F102" s="8"/>
      <c r="G102" s="227"/>
    </row>
    <row r="103" ht="15.75" customHeight="1">
      <c r="A103" s="56"/>
      <c r="B103" s="56"/>
      <c r="C103" s="56"/>
      <c r="D103" s="56"/>
      <c r="E103" s="304"/>
      <c r="F103" s="8"/>
      <c r="G103" s="227"/>
    </row>
    <row r="104" ht="15.75" customHeight="1">
      <c r="A104" s="56"/>
      <c r="B104" s="56"/>
      <c r="C104" s="56"/>
      <c r="D104" s="56"/>
      <c r="E104" s="304"/>
      <c r="F104" s="8"/>
      <c r="G104" s="227"/>
    </row>
    <row r="105" ht="15.75" customHeight="1">
      <c r="A105" s="56"/>
      <c r="B105" s="56"/>
      <c r="C105" s="56"/>
      <c r="D105" s="56"/>
      <c r="E105" s="304"/>
      <c r="F105" s="8"/>
      <c r="G105" s="227"/>
    </row>
    <row r="106" ht="15.75" customHeight="1">
      <c r="A106" s="56"/>
      <c r="B106" s="56"/>
      <c r="C106" s="56"/>
      <c r="D106" s="56"/>
      <c r="E106" s="304"/>
      <c r="F106" s="8"/>
      <c r="G106" s="227"/>
    </row>
    <row r="107" ht="15.75" customHeight="1">
      <c r="A107" s="56"/>
      <c r="B107" s="56"/>
      <c r="C107" s="56"/>
      <c r="D107" s="56"/>
      <c r="E107" s="304"/>
      <c r="F107" s="8"/>
      <c r="G107" s="227"/>
    </row>
    <row r="108" ht="15.75" customHeight="1">
      <c r="A108" s="56"/>
      <c r="B108" s="56"/>
      <c r="C108" s="56"/>
      <c r="D108" s="56"/>
      <c r="E108" s="304"/>
      <c r="F108" s="8"/>
      <c r="G108" s="227"/>
    </row>
    <row r="109" ht="15.75" customHeight="1">
      <c r="A109" s="56"/>
      <c r="B109" s="56"/>
      <c r="C109" s="56"/>
      <c r="D109" s="56"/>
      <c r="E109" s="304"/>
      <c r="F109" s="8"/>
      <c r="G109" s="227"/>
    </row>
    <row r="110" ht="15.75" customHeight="1">
      <c r="A110" s="56"/>
      <c r="B110" s="56"/>
      <c r="C110" s="56"/>
      <c r="D110" s="56"/>
      <c r="E110" s="304"/>
      <c r="F110" s="8"/>
      <c r="G110" s="227"/>
    </row>
    <row r="111" ht="15.75" customHeight="1">
      <c r="A111" s="56"/>
      <c r="B111" s="56"/>
      <c r="C111" s="56"/>
      <c r="D111" s="56"/>
      <c r="E111" s="304"/>
      <c r="F111" s="8"/>
      <c r="G111" s="227"/>
    </row>
    <row r="112" ht="15.75" customHeight="1">
      <c r="A112" s="56"/>
      <c r="B112" s="56"/>
      <c r="C112" s="56"/>
      <c r="D112" s="56"/>
      <c r="E112" s="304"/>
      <c r="F112" s="8"/>
      <c r="G112" s="227"/>
    </row>
    <row r="113" ht="15.75" customHeight="1">
      <c r="A113" s="56"/>
      <c r="B113" s="56"/>
      <c r="C113" s="56"/>
      <c r="D113" s="56"/>
      <c r="E113" s="304"/>
      <c r="F113" s="8"/>
      <c r="G113" s="227"/>
    </row>
    <row r="114" ht="15.75" customHeight="1">
      <c r="A114" s="56"/>
      <c r="B114" s="56"/>
      <c r="C114" s="56"/>
      <c r="D114" s="56"/>
      <c r="E114" s="304"/>
      <c r="F114" s="8"/>
      <c r="G114" s="227"/>
    </row>
    <row r="115" ht="15.75" customHeight="1">
      <c r="A115" s="56"/>
      <c r="B115" s="56"/>
      <c r="C115" s="56"/>
      <c r="D115" s="56"/>
      <c r="E115" s="304"/>
      <c r="F115" s="8"/>
      <c r="G115" s="227"/>
    </row>
    <row r="116" ht="15.75" customHeight="1">
      <c r="A116" s="56"/>
      <c r="B116" s="56"/>
      <c r="C116" s="56"/>
      <c r="D116" s="56"/>
      <c r="E116" s="304"/>
      <c r="F116" s="8"/>
      <c r="G116" s="227"/>
    </row>
    <row r="117" ht="15.75" customHeight="1">
      <c r="A117" s="56"/>
      <c r="B117" s="56"/>
      <c r="C117" s="56"/>
      <c r="D117" s="56"/>
      <c r="E117" s="304"/>
      <c r="F117" s="8"/>
      <c r="G117" s="227"/>
    </row>
    <row r="118" ht="15.75" customHeight="1">
      <c r="A118" s="56"/>
      <c r="B118" s="56"/>
      <c r="C118" s="56"/>
      <c r="D118" s="56"/>
      <c r="E118" s="304"/>
      <c r="F118" s="8"/>
      <c r="G118" s="227"/>
    </row>
    <row r="119" ht="15.75" customHeight="1">
      <c r="A119" s="56"/>
      <c r="B119" s="56"/>
      <c r="C119" s="56"/>
      <c r="D119" s="56"/>
      <c r="E119" s="304"/>
      <c r="F119" s="8"/>
      <c r="G119" s="227"/>
    </row>
    <row r="120" ht="15.75" customHeight="1">
      <c r="A120" s="56"/>
      <c r="B120" s="56"/>
      <c r="C120" s="56"/>
      <c r="D120" s="56"/>
      <c r="E120" s="304"/>
      <c r="F120" s="8"/>
      <c r="G120" s="227"/>
    </row>
    <row r="121" ht="15.75" customHeight="1">
      <c r="A121" s="56"/>
      <c r="B121" s="56"/>
      <c r="C121" s="56"/>
      <c r="D121" s="56"/>
      <c r="E121" s="304"/>
      <c r="F121" s="8"/>
      <c r="G121" s="227"/>
    </row>
    <row r="122" ht="15.75" customHeight="1">
      <c r="A122" s="56"/>
      <c r="B122" s="56"/>
      <c r="C122" s="56"/>
      <c r="D122" s="56"/>
      <c r="E122" s="304"/>
      <c r="F122" s="8"/>
      <c r="G122" s="227"/>
    </row>
    <row r="123" ht="15.75" customHeight="1">
      <c r="A123" s="56"/>
      <c r="B123" s="56"/>
      <c r="C123" s="56"/>
      <c r="D123" s="56"/>
      <c r="E123" s="304"/>
      <c r="F123" s="8"/>
      <c r="G123" s="227"/>
    </row>
    <row r="124" ht="15.75" customHeight="1">
      <c r="A124" s="56"/>
      <c r="B124" s="56"/>
      <c r="C124" s="56"/>
      <c r="D124" s="56"/>
      <c r="E124" s="304"/>
      <c r="F124" s="8"/>
      <c r="G124" s="227"/>
    </row>
    <row r="125" ht="15.75" customHeight="1">
      <c r="A125" s="56"/>
      <c r="B125" s="56"/>
      <c r="C125" s="56"/>
      <c r="D125" s="56"/>
      <c r="E125" s="304"/>
      <c r="F125" s="8"/>
      <c r="G125" s="227"/>
    </row>
    <row r="126" ht="15.75" customHeight="1">
      <c r="A126" s="56"/>
      <c r="B126" s="56"/>
      <c r="C126" s="56"/>
      <c r="D126" s="56"/>
      <c r="E126" s="304"/>
      <c r="F126" s="8"/>
      <c r="G126" s="227"/>
    </row>
    <row r="127" ht="15.75" customHeight="1">
      <c r="A127" s="56"/>
      <c r="B127" s="56"/>
      <c r="C127" s="56"/>
      <c r="D127" s="56"/>
      <c r="E127" s="304"/>
      <c r="F127" s="8"/>
      <c r="G127" s="227"/>
    </row>
    <row r="128" ht="15.75" customHeight="1">
      <c r="A128" s="56"/>
      <c r="B128" s="56"/>
      <c r="C128" s="56"/>
      <c r="D128" s="56"/>
      <c r="E128" s="304"/>
      <c r="F128" s="8"/>
      <c r="G128" s="227"/>
    </row>
    <row r="129" ht="15.75" customHeight="1">
      <c r="A129" s="56"/>
      <c r="B129" s="56"/>
      <c r="C129" s="56"/>
      <c r="D129" s="56"/>
      <c r="E129" s="304"/>
      <c r="F129" s="8"/>
      <c r="G129" s="227"/>
    </row>
    <row r="130" ht="15.75" customHeight="1">
      <c r="A130" s="56"/>
      <c r="B130" s="56"/>
      <c r="C130" s="56"/>
      <c r="D130" s="56"/>
      <c r="E130" s="304"/>
      <c r="F130" s="8"/>
      <c r="G130" s="227"/>
    </row>
    <row r="131" ht="15.75" customHeight="1">
      <c r="A131" s="56"/>
      <c r="B131" s="56"/>
      <c r="C131" s="56"/>
      <c r="D131" s="56"/>
      <c r="E131" s="304"/>
      <c r="F131" s="8"/>
      <c r="G131" s="227"/>
    </row>
    <row r="132" ht="15.75" customHeight="1">
      <c r="A132" s="56"/>
      <c r="B132" s="56"/>
      <c r="C132" s="56"/>
      <c r="D132" s="56"/>
      <c r="E132" s="304"/>
      <c r="F132" s="8"/>
      <c r="G132" s="227"/>
    </row>
    <row r="133" ht="15.75" customHeight="1">
      <c r="A133" s="56"/>
      <c r="B133" s="56"/>
      <c r="C133" s="56"/>
      <c r="D133" s="56"/>
      <c r="E133" s="304"/>
      <c r="F133" s="8"/>
      <c r="G133" s="227"/>
    </row>
    <row r="134" ht="15.75" customHeight="1">
      <c r="A134" s="56"/>
      <c r="B134" s="56"/>
      <c r="C134" s="56"/>
      <c r="D134" s="56"/>
      <c r="E134" s="304"/>
      <c r="F134" s="8"/>
      <c r="G134" s="227"/>
    </row>
    <row r="135" ht="15.75" customHeight="1">
      <c r="A135" s="56"/>
      <c r="B135" s="56"/>
      <c r="C135" s="56"/>
      <c r="D135" s="56"/>
      <c r="E135" s="304"/>
      <c r="F135" s="8"/>
      <c r="G135" s="227"/>
    </row>
    <row r="136" ht="15.75" customHeight="1">
      <c r="A136" s="56"/>
      <c r="B136" s="56"/>
      <c r="C136" s="56"/>
      <c r="D136" s="56"/>
      <c r="E136" s="304"/>
      <c r="F136" s="8"/>
      <c r="G136" s="227"/>
    </row>
    <row r="137" ht="15.75" customHeight="1">
      <c r="A137" s="56"/>
      <c r="B137" s="56"/>
      <c r="C137" s="56"/>
      <c r="D137" s="56"/>
      <c r="E137" s="304"/>
      <c r="F137" s="8"/>
      <c r="G137" s="227"/>
    </row>
    <row r="138" ht="15.75" customHeight="1">
      <c r="A138" s="56"/>
      <c r="B138" s="56"/>
      <c r="C138" s="56"/>
      <c r="D138" s="56"/>
      <c r="E138" s="304"/>
      <c r="F138" s="8"/>
      <c r="G138" s="227"/>
    </row>
    <row r="139" ht="15.75" customHeight="1">
      <c r="A139" s="56"/>
      <c r="B139" s="56"/>
      <c r="C139" s="56"/>
      <c r="D139" s="56"/>
      <c r="E139" s="304"/>
      <c r="F139" s="8"/>
      <c r="G139" s="227"/>
    </row>
    <row r="140" ht="15.75" customHeight="1">
      <c r="A140" s="56"/>
      <c r="B140" s="56"/>
      <c r="C140" s="56"/>
      <c r="D140" s="56"/>
      <c r="E140" s="304"/>
      <c r="F140" s="8"/>
      <c r="G140" s="227"/>
    </row>
    <row r="141" ht="15.75" customHeight="1">
      <c r="A141" s="56"/>
      <c r="B141" s="56"/>
      <c r="C141" s="56"/>
      <c r="D141" s="56"/>
      <c r="E141" s="304"/>
      <c r="F141" s="8"/>
      <c r="G141" s="227"/>
    </row>
    <row r="142" ht="15.75" customHeight="1">
      <c r="A142" s="56"/>
      <c r="B142" s="56"/>
      <c r="C142" s="56"/>
      <c r="D142" s="56"/>
      <c r="E142" s="304"/>
      <c r="F142" s="8"/>
      <c r="G142" s="227"/>
    </row>
    <row r="143" ht="15.75" customHeight="1">
      <c r="A143" s="56"/>
      <c r="B143" s="56"/>
      <c r="C143" s="56"/>
      <c r="D143" s="56"/>
      <c r="E143" s="304"/>
      <c r="F143" s="8"/>
      <c r="G143" s="227"/>
    </row>
    <row r="144" ht="15.75" customHeight="1">
      <c r="A144" s="56"/>
      <c r="B144" s="56"/>
      <c r="C144" s="56"/>
      <c r="D144" s="56"/>
      <c r="E144" s="304"/>
      <c r="F144" s="8"/>
      <c r="G144" s="227"/>
    </row>
    <row r="145" ht="15.75" customHeight="1">
      <c r="A145" s="56"/>
      <c r="B145" s="56"/>
      <c r="C145" s="56"/>
      <c r="D145" s="56"/>
      <c r="E145" s="304"/>
      <c r="F145" s="8"/>
      <c r="G145" s="227"/>
    </row>
    <row r="146" ht="15.75" customHeight="1">
      <c r="A146" s="56"/>
      <c r="B146" s="56"/>
      <c r="C146" s="56"/>
      <c r="D146" s="56"/>
      <c r="E146" s="304"/>
      <c r="F146" s="8"/>
      <c r="G146" s="227"/>
    </row>
    <row r="147" ht="15.75" customHeight="1">
      <c r="A147" s="56"/>
      <c r="B147" s="56"/>
      <c r="C147" s="56"/>
      <c r="D147" s="56"/>
      <c r="E147" s="304"/>
      <c r="F147" s="8"/>
      <c r="G147" s="227"/>
    </row>
    <row r="148" ht="15.75" customHeight="1">
      <c r="A148" s="56"/>
      <c r="B148" s="56"/>
      <c r="C148" s="56"/>
      <c r="D148" s="56"/>
      <c r="E148" s="304"/>
      <c r="F148" s="8"/>
      <c r="G148" s="227"/>
    </row>
    <row r="149" ht="15.75" customHeight="1">
      <c r="A149" s="56"/>
      <c r="B149" s="56"/>
      <c r="C149" s="56"/>
      <c r="D149" s="56"/>
      <c r="E149" s="304"/>
      <c r="F149" s="8"/>
      <c r="G149" s="227"/>
    </row>
    <row r="150" ht="15.75" customHeight="1">
      <c r="A150" s="56"/>
      <c r="B150" s="56"/>
      <c r="C150" s="56"/>
      <c r="D150" s="56"/>
      <c r="E150" s="304"/>
      <c r="F150" s="8"/>
      <c r="G150" s="227"/>
    </row>
    <row r="151" ht="15.75" customHeight="1">
      <c r="A151" s="56"/>
      <c r="B151" s="56"/>
      <c r="C151" s="56"/>
      <c r="D151" s="56"/>
      <c r="E151" s="304"/>
      <c r="F151" s="8"/>
      <c r="G151" s="227"/>
    </row>
    <row r="152" ht="15.75" customHeight="1">
      <c r="A152" s="56"/>
      <c r="B152" s="56"/>
      <c r="C152" s="56"/>
      <c r="D152" s="56"/>
      <c r="E152" s="304"/>
      <c r="F152" s="8"/>
      <c r="G152" s="227"/>
    </row>
    <row r="153" ht="15.75" customHeight="1">
      <c r="A153" s="56"/>
      <c r="B153" s="56"/>
      <c r="C153" s="56"/>
      <c r="D153" s="56"/>
      <c r="E153" s="304"/>
      <c r="F153" s="8"/>
      <c r="G153" s="227"/>
    </row>
    <row r="154" ht="15.75" customHeight="1">
      <c r="A154" s="56"/>
      <c r="B154" s="56"/>
      <c r="C154" s="56"/>
      <c r="D154" s="56"/>
      <c r="E154" s="304"/>
      <c r="F154" s="8"/>
      <c r="G154" s="227"/>
    </row>
    <row r="155" ht="15.75" customHeight="1">
      <c r="A155" s="56"/>
      <c r="B155" s="56"/>
      <c r="C155" s="56"/>
      <c r="D155" s="56"/>
      <c r="E155" s="304"/>
      <c r="F155" s="8"/>
      <c r="G155" s="227"/>
    </row>
    <row r="156" ht="15.75" customHeight="1">
      <c r="A156" s="56"/>
      <c r="B156" s="56"/>
      <c r="C156" s="56"/>
      <c r="D156" s="56"/>
      <c r="E156" s="304"/>
      <c r="F156" s="8"/>
      <c r="G156" s="227"/>
    </row>
    <row r="157" ht="15.75" customHeight="1">
      <c r="A157" s="56"/>
      <c r="B157" s="56"/>
      <c r="C157" s="56"/>
      <c r="D157" s="56"/>
      <c r="E157" s="304"/>
      <c r="F157" s="8"/>
      <c r="G157" s="227"/>
    </row>
    <row r="158" ht="15.75" customHeight="1">
      <c r="A158" s="56"/>
      <c r="B158" s="56"/>
      <c r="C158" s="56"/>
      <c r="D158" s="56"/>
      <c r="E158" s="304"/>
      <c r="F158" s="8"/>
      <c r="G158" s="227"/>
    </row>
    <row r="159" ht="15.75" customHeight="1">
      <c r="A159" s="56"/>
      <c r="B159" s="56"/>
      <c r="C159" s="56"/>
      <c r="D159" s="56"/>
      <c r="E159" s="304"/>
      <c r="F159" s="8"/>
      <c r="G159" s="227"/>
    </row>
    <row r="160" ht="15.75" customHeight="1">
      <c r="A160" s="56"/>
      <c r="B160" s="56"/>
      <c r="C160" s="56"/>
      <c r="D160" s="56"/>
      <c r="E160" s="304"/>
      <c r="F160" s="8"/>
      <c r="G160" s="227"/>
    </row>
    <row r="161" ht="15.75" customHeight="1">
      <c r="A161" s="56"/>
      <c r="B161" s="56"/>
      <c r="C161" s="56"/>
      <c r="D161" s="56"/>
      <c r="E161" s="304"/>
      <c r="F161" s="8"/>
      <c r="G161" s="227"/>
    </row>
    <row r="162" ht="15.75" customHeight="1">
      <c r="A162" s="56"/>
      <c r="B162" s="56"/>
      <c r="C162" s="56"/>
      <c r="D162" s="56"/>
      <c r="E162" s="304"/>
      <c r="F162" s="8"/>
      <c r="G162" s="227"/>
    </row>
    <row r="163" ht="15.75" customHeight="1">
      <c r="A163" s="56"/>
      <c r="B163" s="56"/>
      <c r="C163" s="56"/>
      <c r="D163" s="56"/>
      <c r="E163" s="304"/>
      <c r="F163" s="8"/>
      <c r="G163" s="227"/>
    </row>
    <row r="164" ht="15.75" customHeight="1">
      <c r="A164" s="56"/>
      <c r="B164" s="56"/>
      <c r="C164" s="56"/>
      <c r="D164" s="56"/>
      <c r="E164" s="304"/>
      <c r="F164" s="8"/>
      <c r="G164" s="227"/>
    </row>
    <row r="165" ht="15.75" customHeight="1">
      <c r="A165" s="56"/>
      <c r="B165" s="56"/>
      <c r="C165" s="56"/>
      <c r="D165" s="56"/>
      <c r="E165" s="304"/>
      <c r="F165" s="8"/>
      <c r="G165" s="227"/>
    </row>
    <row r="166" ht="15.75" customHeight="1">
      <c r="A166" s="56"/>
      <c r="B166" s="56"/>
      <c r="C166" s="56"/>
      <c r="D166" s="56"/>
      <c r="E166" s="304"/>
      <c r="F166" s="8"/>
      <c r="G166" s="227"/>
    </row>
    <row r="167" ht="15.75" customHeight="1">
      <c r="A167" s="56"/>
      <c r="B167" s="56"/>
      <c r="C167" s="56"/>
      <c r="D167" s="56"/>
      <c r="E167" s="304"/>
      <c r="F167" s="8"/>
      <c r="G167" s="227"/>
    </row>
    <row r="168" ht="15.75" customHeight="1">
      <c r="A168" s="56"/>
      <c r="B168" s="56"/>
      <c r="C168" s="56"/>
      <c r="D168" s="56"/>
      <c r="E168" s="304"/>
      <c r="F168" s="8"/>
      <c r="G168" s="227"/>
    </row>
    <row r="169" ht="15.75" customHeight="1">
      <c r="A169" s="56"/>
      <c r="B169" s="56"/>
      <c r="C169" s="56"/>
      <c r="D169" s="56"/>
      <c r="E169" s="304"/>
      <c r="F169" s="8"/>
      <c r="G169" s="227"/>
    </row>
    <row r="170" ht="15.75" customHeight="1">
      <c r="A170" s="56"/>
      <c r="B170" s="56"/>
      <c r="C170" s="56"/>
      <c r="D170" s="56"/>
      <c r="E170" s="304"/>
      <c r="F170" s="8"/>
      <c r="G170" s="227"/>
    </row>
    <row r="171" ht="15.75" customHeight="1">
      <c r="A171" s="56"/>
      <c r="B171" s="56"/>
      <c r="C171" s="56"/>
      <c r="D171" s="56"/>
      <c r="E171" s="304"/>
      <c r="F171" s="8"/>
      <c r="G171" s="227"/>
    </row>
    <row r="172" ht="15.75" customHeight="1">
      <c r="A172" s="56"/>
      <c r="B172" s="56"/>
      <c r="C172" s="56"/>
      <c r="D172" s="56"/>
      <c r="E172" s="304"/>
      <c r="F172" s="8"/>
      <c r="G172" s="227"/>
    </row>
    <row r="173" ht="15.75" customHeight="1">
      <c r="A173" s="56"/>
      <c r="B173" s="56"/>
      <c r="C173" s="56"/>
      <c r="D173" s="56"/>
      <c r="E173" s="304"/>
      <c r="F173" s="8"/>
      <c r="G173" s="227"/>
    </row>
    <row r="174" ht="15.75" customHeight="1">
      <c r="A174" s="56"/>
      <c r="B174" s="56"/>
      <c r="C174" s="56"/>
      <c r="D174" s="56"/>
      <c r="E174" s="304"/>
      <c r="F174" s="8"/>
      <c r="G174" s="227"/>
    </row>
    <row r="175" ht="15.75" customHeight="1">
      <c r="A175" s="56"/>
      <c r="B175" s="56"/>
      <c r="C175" s="56"/>
      <c r="D175" s="56"/>
      <c r="E175" s="304"/>
      <c r="F175" s="8"/>
      <c r="G175" s="227"/>
    </row>
    <row r="176" ht="15.75" customHeight="1">
      <c r="A176" s="56"/>
      <c r="B176" s="56"/>
      <c r="C176" s="56"/>
      <c r="D176" s="56"/>
      <c r="E176" s="304"/>
      <c r="F176" s="8"/>
      <c r="G176" s="227"/>
    </row>
    <row r="177" ht="15.75" customHeight="1">
      <c r="A177" s="56"/>
      <c r="B177" s="56"/>
      <c r="C177" s="56"/>
      <c r="D177" s="56"/>
      <c r="E177" s="304"/>
      <c r="F177" s="8"/>
      <c r="G177" s="227"/>
    </row>
    <row r="178" ht="15.75" customHeight="1">
      <c r="A178" s="56"/>
      <c r="B178" s="56"/>
      <c r="C178" s="56"/>
      <c r="D178" s="56"/>
      <c r="E178" s="304"/>
      <c r="F178" s="8"/>
      <c r="G178" s="227"/>
    </row>
    <row r="179" ht="15.75" customHeight="1">
      <c r="A179" s="56"/>
      <c r="B179" s="56"/>
      <c r="C179" s="56"/>
      <c r="D179" s="56"/>
      <c r="E179" s="304"/>
      <c r="F179" s="8"/>
      <c r="G179" s="227"/>
    </row>
    <row r="180" ht="15.75" customHeight="1">
      <c r="A180" s="56"/>
      <c r="B180" s="56"/>
      <c r="C180" s="56"/>
      <c r="D180" s="56"/>
      <c r="E180" s="304"/>
      <c r="F180" s="8"/>
      <c r="G180" s="227"/>
    </row>
    <row r="181" ht="15.75" customHeight="1">
      <c r="A181" s="56"/>
      <c r="B181" s="56"/>
      <c r="C181" s="56"/>
      <c r="D181" s="56"/>
      <c r="E181" s="304"/>
      <c r="F181" s="8"/>
      <c r="G181" s="227"/>
    </row>
    <row r="182" ht="15.75" customHeight="1">
      <c r="A182" s="56"/>
      <c r="B182" s="56"/>
      <c r="C182" s="56"/>
      <c r="D182" s="56"/>
      <c r="E182" s="304"/>
      <c r="F182" s="8"/>
      <c r="G182" s="227"/>
    </row>
    <row r="183" ht="15.75" customHeight="1">
      <c r="A183" s="56"/>
      <c r="B183" s="56"/>
      <c r="C183" s="56"/>
      <c r="D183" s="56"/>
      <c r="E183" s="304"/>
      <c r="F183" s="8"/>
      <c r="G183" s="227"/>
    </row>
    <row r="184" ht="15.75" customHeight="1">
      <c r="A184" s="56"/>
      <c r="B184" s="56"/>
      <c r="C184" s="56"/>
      <c r="D184" s="56"/>
      <c r="E184" s="304"/>
      <c r="F184" s="8"/>
      <c r="G184" s="227"/>
    </row>
    <row r="185" ht="15.75" customHeight="1">
      <c r="A185" s="56"/>
      <c r="B185" s="56"/>
      <c r="C185" s="56"/>
      <c r="D185" s="56"/>
      <c r="E185" s="304"/>
      <c r="F185" s="8"/>
      <c r="G185" s="227"/>
    </row>
    <row r="186" ht="15.75" customHeight="1">
      <c r="A186" s="56"/>
      <c r="B186" s="56"/>
      <c r="C186" s="56"/>
      <c r="D186" s="56"/>
      <c r="E186" s="304"/>
      <c r="F186" s="8"/>
      <c r="G186" s="227"/>
    </row>
    <row r="187" ht="15.75" customHeight="1">
      <c r="A187" s="56"/>
      <c r="B187" s="56"/>
      <c r="C187" s="56"/>
      <c r="D187" s="56"/>
      <c r="E187" s="304"/>
      <c r="F187" s="8"/>
      <c r="G187" s="227"/>
    </row>
    <row r="188" ht="15.75" customHeight="1">
      <c r="A188" s="56"/>
      <c r="B188" s="56"/>
      <c r="C188" s="56"/>
      <c r="D188" s="56"/>
      <c r="E188" s="304"/>
      <c r="F188" s="8"/>
      <c r="G188" s="227"/>
    </row>
    <row r="189" ht="15.75" customHeight="1">
      <c r="A189" s="56"/>
      <c r="B189" s="56"/>
      <c r="C189" s="56"/>
      <c r="D189" s="56"/>
      <c r="E189" s="304"/>
      <c r="F189" s="8"/>
      <c r="G189" s="227"/>
    </row>
    <row r="190" ht="15.75" customHeight="1">
      <c r="A190" s="56"/>
      <c r="B190" s="56"/>
      <c r="C190" s="56"/>
      <c r="D190" s="56"/>
      <c r="E190" s="304"/>
      <c r="F190" s="8"/>
      <c r="G190" s="227"/>
    </row>
    <row r="191" ht="15.75" customHeight="1">
      <c r="A191" s="56"/>
      <c r="B191" s="56"/>
      <c r="C191" s="56"/>
      <c r="D191" s="56"/>
      <c r="E191" s="304"/>
      <c r="F191" s="8"/>
      <c r="G191" s="227"/>
    </row>
    <row r="192" ht="15.75" customHeight="1">
      <c r="A192" s="56"/>
      <c r="B192" s="56"/>
      <c r="C192" s="56"/>
      <c r="D192" s="56"/>
      <c r="E192" s="304"/>
      <c r="F192" s="8"/>
      <c r="G192" s="227"/>
    </row>
    <row r="193" ht="15.75" customHeight="1">
      <c r="A193" s="56"/>
      <c r="B193" s="56"/>
      <c r="C193" s="56"/>
      <c r="D193" s="56"/>
      <c r="E193" s="304"/>
      <c r="F193" s="8"/>
      <c r="G193" s="227"/>
    </row>
    <row r="194" ht="15.75" customHeight="1">
      <c r="A194" s="56"/>
      <c r="B194" s="56"/>
      <c r="C194" s="56"/>
      <c r="D194" s="56"/>
      <c r="E194" s="304"/>
      <c r="F194" s="8"/>
      <c r="G194" s="227"/>
    </row>
    <row r="195" ht="15.75" customHeight="1">
      <c r="A195" s="56"/>
      <c r="B195" s="56"/>
      <c r="C195" s="56"/>
      <c r="D195" s="56"/>
      <c r="E195" s="304"/>
      <c r="F195" s="8"/>
      <c r="G195" s="227"/>
    </row>
    <row r="196" ht="15.75" customHeight="1">
      <c r="A196" s="56"/>
      <c r="B196" s="56"/>
      <c r="C196" s="56"/>
      <c r="D196" s="56"/>
      <c r="E196" s="304"/>
      <c r="F196" s="8"/>
      <c r="G196" s="227"/>
    </row>
    <row r="197" ht="15.75" customHeight="1">
      <c r="A197" s="56"/>
      <c r="B197" s="56"/>
      <c r="C197" s="56"/>
      <c r="D197" s="56"/>
      <c r="E197" s="304"/>
      <c r="F197" s="8"/>
      <c r="G197" s="227"/>
    </row>
    <row r="198" ht="15.75" customHeight="1">
      <c r="A198" s="56"/>
      <c r="B198" s="56"/>
      <c r="C198" s="56"/>
      <c r="D198" s="56"/>
      <c r="E198" s="304"/>
      <c r="F198" s="8"/>
      <c r="G198" s="227"/>
    </row>
    <row r="199" ht="15.75" customHeight="1">
      <c r="A199" s="56"/>
      <c r="B199" s="56"/>
      <c r="C199" s="56"/>
      <c r="D199" s="56"/>
      <c r="E199" s="304"/>
      <c r="F199" s="8"/>
      <c r="G199" s="227"/>
    </row>
    <row r="200" ht="15.75" customHeight="1">
      <c r="A200" s="56"/>
      <c r="B200" s="56"/>
      <c r="C200" s="56"/>
      <c r="D200" s="56"/>
      <c r="E200" s="304"/>
      <c r="F200" s="8"/>
      <c r="G200" s="227"/>
    </row>
    <row r="201" ht="15.75" customHeight="1">
      <c r="A201" s="56"/>
      <c r="B201" s="56"/>
      <c r="C201" s="56"/>
      <c r="D201" s="56"/>
      <c r="E201" s="304"/>
      <c r="F201" s="8"/>
      <c r="G201" s="227"/>
    </row>
    <row r="202" ht="15.75" customHeight="1">
      <c r="A202" s="56"/>
      <c r="B202" s="56"/>
      <c r="C202" s="56"/>
      <c r="D202" s="56"/>
      <c r="E202" s="304"/>
      <c r="F202" s="8"/>
      <c r="G202" s="227"/>
    </row>
    <row r="203" ht="15.75" customHeight="1">
      <c r="A203" s="56"/>
      <c r="B203" s="56"/>
      <c r="C203" s="56"/>
      <c r="D203" s="56"/>
      <c r="E203" s="304"/>
      <c r="F203" s="8"/>
      <c r="G203" s="227"/>
    </row>
    <row r="204" ht="15.75" customHeight="1">
      <c r="A204" s="56"/>
      <c r="B204" s="56"/>
      <c r="C204" s="56"/>
      <c r="D204" s="56"/>
      <c r="E204" s="304"/>
      <c r="F204" s="8"/>
      <c r="G204" s="227"/>
    </row>
    <row r="205" ht="15.75" customHeight="1">
      <c r="A205" s="56"/>
      <c r="B205" s="56"/>
      <c r="C205" s="56"/>
      <c r="D205" s="56"/>
      <c r="E205" s="304"/>
      <c r="F205" s="8"/>
      <c r="G205" s="227"/>
    </row>
    <row r="206" ht="15.75" customHeight="1">
      <c r="A206" s="56"/>
      <c r="B206" s="56"/>
      <c r="C206" s="56"/>
      <c r="D206" s="56"/>
      <c r="E206" s="304"/>
      <c r="F206" s="8"/>
      <c r="G206" s="227"/>
    </row>
    <row r="207" ht="15.75" customHeight="1">
      <c r="A207" s="56"/>
      <c r="B207" s="56"/>
      <c r="C207" s="56"/>
      <c r="D207" s="56"/>
      <c r="E207" s="304"/>
      <c r="F207" s="8"/>
      <c r="G207" s="227"/>
    </row>
    <row r="208" ht="15.75" customHeight="1">
      <c r="A208" s="56"/>
      <c r="B208" s="56"/>
      <c r="C208" s="56"/>
      <c r="D208" s="56"/>
      <c r="E208" s="304"/>
      <c r="F208" s="8"/>
      <c r="G208" s="227"/>
    </row>
    <row r="209" ht="15.75" customHeight="1">
      <c r="A209" s="56"/>
      <c r="B209" s="56"/>
      <c r="C209" s="56"/>
      <c r="D209" s="56"/>
      <c r="E209" s="304"/>
      <c r="F209" s="8"/>
      <c r="G209" s="227"/>
    </row>
    <row r="210" ht="15.75" customHeight="1">
      <c r="A210" s="56"/>
      <c r="B210" s="56"/>
      <c r="C210" s="56"/>
      <c r="D210" s="56"/>
      <c r="E210" s="304"/>
      <c r="F210" s="8"/>
      <c r="G210" s="227"/>
    </row>
    <row r="211" ht="15.75" customHeight="1">
      <c r="A211" s="56"/>
      <c r="B211" s="56"/>
      <c r="C211" s="56"/>
      <c r="D211" s="56"/>
      <c r="E211" s="304"/>
      <c r="F211" s="8"/>
      <c r="G211" s="227"/>
    </row>
    <row r="212" ht="15.75" customHeight="1">
      <c r="A212" s="56"/>
      <c r="B212" s="56"/>
      <c r="C212" s="56"/>
      <c r="D212" s="56"/>
      <c r="E212" s="304"/>
      <c r="F212" s="8"/>
      <c r="G212" s="227"/>
    </row>
    <row r="213" ht="15.75" customHeight="1">
      <c r="A213" s="56"/>
      <c r="B213" s="56"/>
      <c r="C213" s="56"/>
      <c r="D213" s="56"/>
      <c r="E213" s="304"/>
      <c r="F213" s="8"/>
      <c r="G213" s="227"/>
    </row>
    <row r="214" ht="15.75" customHeight="1">
      <c r="A214" s="56"/>
      <c r="B214" s="56"/>
      <c r="C214" s="56"/>
      <c r="D214" s="56"/>
      <c r="E214" s="304"/>
      <c r="F214" s="8"/>
      <c r="G214" s="227"/>
    </row>
    <row r="215" ht="15.75" customHeight="1">
      <c r="A215" s="56"/>
      <c r="B215" s="56"/>
      <c r="C215" s="56"/>
      <c r="D215" s="56"/>
      <c r="E215" s="304"/>
      <c r="F215" s="8"/>
      <c r="G215" s="227"/>
    </row>
    <row r="216" ht="15.75" customHeight="1">
      <c r="A216" s="56"/>
      <c r="B216" s="56"/>
      <c r="C216" s="56"/>
      <c r="D216" s="56"/>
      <c r="E216" s="304"/>
      <c r="F216" s="8"/>
      <c r="G216" s="227"/>
    </row>
    <row r="217" ht="15.75" customHeight="1">
      <c r="A217" s="56"/>
      <c r="B217" s="56"/>
      <c r="C217" s="56"/>
      <c r="D217" s="56"/>
      <c r="E217" s="304"/>
      <c r="F217" s="8"/>
      <c r="G217" s="227"/>
    </row>
    <row r="218" ht="15.75" customHeight="1">
      <c r="A218" s="56"/>
      <c r="B218" s="56"/>
      <c r="C218" s="56"/>
      <c r="D218" s="56"/>
      <c r="E218" s="304"/>
      <c r="F218" s="8"/>
      <c r="G218" s="227"/>
    </row>
    <row r="219" ht="15.75" customHeight="1">
      <c r="A219" s="56"/>
      <c r="B219" s="56"/>
      <c r="C219" s="56"/>
      <c r="D219" s="56"/>
      <c r="E219" s="304"/>
      <c r="F219" s="8"/>
      <c r="G219" s="227"/>
    </row>
    <row r="220" ht="15.75" customHeight="1">
      <c r="A220" s="56"/>
      <c r="B220" s="56"/>
      <c r="C220" s="56"/>
      <c r="D220" s="56"/>
      <c r="E220" s="304"/>
      <c r="F220" s="8"/>
      <c r="G220" s="227"/>
    </row>
    <row r="221" ht="15.75" customHeight="1">
      <c r="A221" s="56"/>
      <c r="B221" s="56"/>
      <c r="C221" s="56"/>
      <c r="D221" s="56"/>
      <c r="E221" s="304"/>
      <c r="F221" s="8"/>
      <c r="G221" s="227"/>
    </row>
    <row r="222" ht="15.75" customHeight="1">
      <c r="A222" s="56"/>
      <c r="B222" s="56"/>
      <c r="C222" s="56"/>
      <c r="D222" s="56"/>
      <c r="E222" s="304"/>
      <c r="F222" s="8"/>
      <c r="G222" s="227"/>
    </row>
    <row r="223" ht="15.75" customHeight="1">
      <c r="A223" s="56"/>
      <c r="B223" s="56"/>
      <c r="C223" s="56"/>
      <c r="D223" s="56"/>
      <c r="E223" s="304"/>
      <c r="F223" s="8"/>
      <c r="G223" s="227"/>
    </row>
    <row r="224" ht="15.75" customHeight="1">
      <c r="A224" s="56"/>
      <c r="B224" s="56"/>
      <c r="C224" s="56"/>
      <c r="D224" s="56"/>
      <c r="E224" s="304"/>
      <c r="F224" s="8"/>
      <c r="G224" s="227"/>
    </row>
    <row r="225" ht="15.75" customHeight="1">
      <c r="A225" s="56"/>
      <c r="B225" s="56"/>
      <c r="C225" s="56"/>
      <c r="D225" s="56"/>
      <c r="E225" s="304"/>
      <c r="F225" s="8"/>
      <c r="G225" s="227"/>
    </row>
    <row r="226" ht="15.75" customHeight="1">
      <c r="A226" s="56"/>
      <c r="B226" s="56"/>
      <c r="C226" s="56"/>
      <c r="D226" s="56"/>
      <c r="E226" s="304"/>
      <c r="F226" s="8"/>
      <c r="G226" s="227"/>
    </row>
    <row r="227" ht="15.75" customHeight="1">
      <c r="A227" s="56"/>
      <c r="B227" s="56"/>
      <c r="C227" s="56"/>
      <c r="D227" s="56"/>
      <c r="E227" s="304"/>
      <c r="F227" s="8"/>
      <c r="G227" s="227"/>
    </row>
    <row r="228" ht="15.75" customHeight="1">
      <c r="A228" s="56"/>
      <c r="B228" s="56"/>
      <c r="C228" s="56"/>
      <c r="D228" s="56"/>
      <c r="E228" s="304"/>
      <c r="F228" s="8"/>
      <c r="G228" s="227"/>
    </row>
    <row r="229" ht="15.75" customHeight="1">
      <c r="A229" s="56"/>
      <c r="B229" s="56"/>
      <c r="C229" s="56"/>
      <c r="D229" s="56"/>
      <c r="E229" s="304"/>
      <c r="F229" s="8"/>
      <c r="G229" s="227"/>
    </row>
    <row r="230" ht="15.75" customHeight="1">
      <c r="A230" s="56"/>
      <c r="B230" s="56"/>
      <c r="C230" s="56"/>
      <c r="D230" s="56"/>
      <c r="E230" s="304"/>
      <c r="F230" s="8"/>
      <c r="G230" s="227"/>
    </row>
    <row r="231" ht="15.75" customHeight="1">
      <c r="A231" s="56"/>
      <c r="B231" s="56"/>
      <c r="C231" s="56"/>
      <c r="D231" s="56"/>
      <c r="E231" s="304"/>
      <c r="F231" s="8"/>
      <c r="G231" s="227"/>
    </row>
    <row r="232" ht="15.75" customHeight="1">
      <c r="A232" s="56"/>
      <c r="B232" s="56"/>
      <c r="C232" s="56"/>
      <c r="D232" s="56"/>
      <c r="E232" s="304"/>
      <c r="F232" s="8"/>
      <c r="G232" s="227"/>
    </row>
    <row r="233" ht="15.75" customHeight="1">
      <c r="A233" s="56"/>
      <c r="B233" s="56"/>
      <c r="C233" s="56"/>
      <c r="D233" s="56"/>
      <c r="E233" s="304"/>
      <c r="F233" s="8"/>
      <c r="G233" s="227"/>
    </row>
    <row r="234" ht="15.75" customHeight="1">
      <c r="A234" s="56"/>
      <c r="B234" s="56"/>
      <c r="C234" s="56"/>
      <c r="D234" s="56"/>
      <c r="E234" s="304"/>
      <c r="F234" s="8"/>
      <c r="G234" s="227"/>
    </row>
    <row r="235" ht="15.75" customHeight="1">
      <c r="A235" s="56"/>
      <c r="B235" s="56"/>
      <c r="C235" s="56"/>
      <c r="D235" s="56"/>
      <c r="E235" s="304"/>
      <c r="F235" s="8"/>
      <c r="G235" s="227"/>
    </row>
    <row r="236" ht="15.75" customHeight="1">
      <c r="A236" s="56"/>
      <c r="B236" s="56"/>
      <c r="C236" s="56"/>
      <c r="D236" s="56"/>
      <c r="E236" s="304"/>
      <c r="F236" s="8"/>
      <c r="G236" s="227"/>
    </row>
    <row r="237" ht="15.75" customHeight="1">
      <c r="A237" s="56"/>
      <c r="B237" s="56"/>
      <c r="C237" s="56"/>
      <c r="D237" s="56"/>
      <c r="E237" s="304"/>
      <c r="F237" s="8"/>
      <c r="G237" s="227"/>
    </row>
    <row r="238" ht="15.75" customHeight="1">
      <c r="A238" s="56"/>
      <c r="B238" s="56"/>
      <c r="C238" s="56"/>
      <c r="D238" s="56"/>
      <c r="E238" s="304"/>
      <c r="F238" s="8"/>
      <c r="G238" s="227"/>
    </row>
    <row r="239" ht="15.75" customHeight="1">
      <c r="A239" s="56"/>
      <c r="B239" s="56"/>
      <c r="C239" s="56"/>
      <c r="D239" s="56"/>
      <c r="E239" s="304"/>
      <c r="F239" s="8"/>
      <c r="G239" s="227"/>
    </row>
    <row r="240" ht="15.75" customHeight="1">
      <c r="A240" s="56"/>
      <c r="B240" s="56"/>
      <c r="C240" s="56"/>
      <c r="D240" s="56"/>
      <c r="E240" s="304"/>
      <c r="F240" s="8"/>
      <c r="G240" s="227"/>
    </row>
    <row r="241" ht="15.75" customHeight="1">
      <c r="A241" s="56"/>
      <c r="B241" s="56"/>
      <c r="C241" s="56"/>
      <c r="D241" s="56"/>
      <c r="E241" s="304"/>
      <c r="F241" s="8"/>
      <c r="G241" s="227"/>
    </row>
    <row r="242" ht="15.75" customHeight="1">
      <c r="A242" s="56"/>
      <c r="B242" s="56"/>
      <c r="C242" s="56"/>
      <c r="D242" s="56"/>
      <c r="E242" s="304"/>
      <c r="F242" s="8"/>
      <c r="G242" s="227"/>
    </row>
    <row r="243" ht="15.75" customHeight="1">
      <c r="A243" s="56"/>
      <c r="B243" s="56"/>
      <c r="C243" s="56"/>
      <c r="D243" s="56"/>
      <c r="E243" s="304"/>
      <c r="F243" s="8"/>
      <c r="G243" s="227"/>
    </row>
    <row r="244" ht="15.75" customHeight="1">
      <c r="A244" s="56"/>
      <c r="B244" s="56"/>
      <c r="C244" s="56"/>
      <c r="D244" s="56"/>
      <c r="E244" s="304"/>
      <c r="F244" s="8"/>
      <c r="G244" s="227"/>
    </row>
    <row r="245" ht="15.75" customHeight="1">
      <c r="A245" s="56"/>
      <c r="B245" s="56"/>
      <c r="C245" s="56"/>
      <c r="D245" s="56"/>
      <c r="E245" s="304"/>
      <c r="F245" s="8"/>
      <c r="G245" s="227"/>
    </row>
    <row r="246" ht="15.75" customHeight="1">
      <c r="A246" s="56"/>
      <c r="B246" s="56"/>
      <c r="C246" s="56"/>
      <c r="D246" s="56"/>
      <c r="E246" s="304"/>
      <c r="F246" s="8"/>
      <c r="G246" s="227"/>
    </row>
    <row r="247" ht="15.75" customHeight="1">
      <c r="A247" s="56"/>
      <c r="B247" s="56"/>
      <c r="C247" s="56"/>
      <c r="D247" s="56"/>
      <c r="E247" s="304"/>
      <c r="F247" s="8"/>
      <c r="G247" s="227"/>
    </row>
    <row r="248" ht="15.75" customHeight="1">
      <c r="A248" s="56"/>
      <c r="B248" s="56"/>
      <c r="C248" s="56"/>
      <c r="D248" s="56"/>
      <c r="E248" s="304"/>
      <c r="F248" s="8"/>
      <c r="G248" s="227"/>
    </row>
    <row r="249" ht="15.75" customHeight="1">
      <c r="A249" s="56"/>
      <c r="B249" s="56"/>
      <c r="C249" s="56"/>
      <c r="D249" s="56"/>
      <c r="E249" s="304"/>
      <c r="F249" s="8"/>
      <c r="G249" s="227"/>
    </row>
    <row r="250" ht="15.75" customHeight="1">
      <c r="A250" s="56"/>
      <c r="B250" s="56"/>
      <c r="C250" s="56"/>
      <c r="D250" s="56"/>
      <c r="E250" s="304"/>
      <c r="F250" s="8"/>
      <c r="G250" s="227"/>
    </row>
    <row r="251" ht="15.75" customHeight="1">
      <c r="A251" s="56"/>
      <c r="B251" s="56"/>
      <c r="C251" s="56"/>
      <c r="D251" s="56"/>
      <c r="E251" s="304"/>
      <c r="F251" s="8"/>
      <c r="G251" s="227"/>
    </row>
    <row r="252" ht="15.75" customHeight="1">
      <c r="A252" s="56"/>
      <c r="B252" s="56"/>
      <c r="C252" s="56"/>
      <c r="D252" s="56"/>
      <c r="E252" s="304"/>
      <c r="F252" s="8"/>
      <c r="G252" s="227"/>
    </row>
    <row r="253" ht="15.75" customHeight="1">
      <c r="A253" s="56"/>
      <c r="B253" s="56"/>
      <c r="C253" s="56"/>
      <c r="D253" s="56"/>
      <c r="E253" s="304"/>
      <c r="F253" s="8"/>
      <c r="G253" s="227"/>
    </row>
    <row r="254" ht="15.75" customHeight="1">
      <c r="A254" s="56"/>
      <c r="B254" s="56"/>
      <c r="C254" s="56"/>
      <c r="D254" s="56"/>
      <c r="E254" s="304"/>
      <c r="F254" s="8"/>
      <c r="G254" s="227"/>
    </row>
    <row r="255" ht="15.75" customHeight="1">
      <c r="A255" s="56"/>
      <c r="B255" s="56"/>
      <c r="C255" s="56"/>
      <c r="D255" s="56"/>
      <c r="E255" s="304"/>
      <c r="F255" s="8"/>
      <c r="G255" s="227"/>
    </row>
    <row r="256" ht="15.75" customHeight="1">
      <c r="A256" s="56"/>
      <c r="B256" s="56"/>
      <c r="C256" s="56"/>
      <c r="D256" s="56"/>
      <c r="E256" s="304"/>
      <c r="F256" s="8"/>
      <c r="G256" s="227"/>
    </row>
    <row r="257" ht="15.75" customHeight="1">
      <c r="A257" s="56"/>
      <c r="B257" s="56"/>
      <c r="C257" s="56"/>
      <c r="D257" s="56"/>
      <c r="E257" s="304"/>
      <c r="F257" s="8"/>
      <c r="G257" s="227"/>
    </row>
    <row r="258" ht="15.75" customHeight="1">
      <c r="A258" s="56"/>
      <c r="B258" s="56"/>
      <c r="C258" s="56"/>
      <c r="D258" s="56"/>
      <c r="E258" s="304"/>
      <c r="F258" s="8"/>
      <c r="G258" s="227"/>
    </row>
    <row r="259" ht="15.75" customHeight="1">
      <c r="A259" s="56"/>
      <c r="B259" s="56"/>
      <c r="C259" s="56"/>
      <c r="D259" s="56"/>
      <c r="E259" s="304"/>
      <c r="F259" s="8"/>
      <c r="G259" s="227"/>
    </row>
    <row r="260" ht="15.75" customHeight="1">
      <c r="A260" s="56"/>
      <c r="B260" s="56"/>
      <c r="C260" s="56"/>
      <c r="D260" s="56"/>
      <c r="E260" s="304"/>
      <c r="F260" s="8"/>
      <c r="G260" s="227"/>
    </row>
    <row r="261" ht="15.75" customHeight="1">
      <c r="A261" s="56"/>
      <c r="B261" s="56"/>
      <c r="C261" s="56"/>
      <c r="D261" s="56"/>
      <c r="E261" s="304"/>
      <c r="F261" s="8"/>
      <c r="G261" s="227"/>
    </row>
    <row r="262" ht="15.75" customHeight="1">
      <c r="A262" s="56"/>
      <c r="B262" s="56"/>
      <c r="C262" s="56"/>
      <c r="D262" s="56"/>
      <c r="E262" s="304"/>
      <c r="F262" s="8"/>
      <c r="G262" s="227"/>
    </row>
    <row r="263" ht="15.75" customHeight="1">
      <c r="A263" s="56"/>
      <c r="B263" s="56"/>
      <c r="C263" s="56"/>
      <c r="D263" s="56"/>
      <c r="E263" s="304"/>
      <c r="F263" s="8"/>
      <c r="G263" s="227"/>
    </row>
    <row r="264" ht="15.75" customHeight="1">
      <c r="A264" s="56"/>
      <c r="B264" s="56"/>
      <c r="C264" s="56"/>
      <c r="D264" s="56"/>
      <c r="E264" s="304"/>
      <c r="F264" s="8"/>
      <c r="G264" s="227"/>
    </row>
    <row r="265" ht="15.75" customHeight="1">
      <c r="A265" s="56"/>
      <c r="B265" s="56"/>
      <c r="C265" s="56"/>
      <c r="D265" s="56"/>
      <c r="E265" s="304"/>
      <c r="F265" s="8"/>
      <c r="G265" s="227"/>
    </row>
    <row r="266" ht="15.75" customHeight="1">
      <c r="A266" s="56"/>
      <c r="B266" s="56"/>
      <c r="C266" s="56"/>
      <c r="D266" s="56"/>
      <c r="E266" s="304"/>
      <c r="F266" s="8"/>
      <c r="G266" s="227"/>
    </row>
    <row r="267" ht="15.75" customHeight="1">
      <c r="A267" s="56"/>
      <c r="B267" s="56"/>
      <c r="C267" s="56"/>
      <c r="D267" s="56"/>
      <c r="E267" s="304"/>
      <c r="F267" s="8"/>
      <c r="G267" s="227"/>
    </row>
    <row r="268" ht="15.75" customHeight="1">
      <c r="A268" s="56"/>
      <c r="B268" s="56"/>
      <c r="C268" s="56"/>
      <c r="D268" s="56"/>
      <c r="E268" s="304"/>
      <c r="F268" s="8"/>
      <c r="G268" s="227"/>
    </row>
    <row r="269" ht="15.75" customHeight="1">
      <c r="A269" s="56"/>
      <c r="B269" s="56"/>
      <c r="C269" s="56"/>
      <c r="D269" s="56"/>
      <c r="E269" s="304"/>
      <c r="F269" s="8"/>
      <c r="G269" s="227"/>
    </row>
    <row r="270" ht="15.75" customHeight="1">
      <c r="A270" s="56"/>
      <c r="B270" s="56"/>
      <c r="C270" s="56"/>
      <c r="D270" s="56"/>
      <c r="E270" s="304"/>
      <c r="F270" s="8"/>
      <c r="G270" s="227"/>
    </row>
    <row r="271" ht="15.75" customHeight="1">
      <c r="A271" s="56"/>
      <c r="B271" s="56"/>
      <c r="C271" s="56"/>
      <c r="D271" s="56"/>
      <c r="E271" s="304"/>
      <c r="F271" s="8"/>
      <c r="G271" s="227"/>
    </row>
    <row r="272" ht="15.75" customHeight="1">
      <c r="A272" s="56"/>
      <c r="B272" s="56"/>
      <c r="C272" s="56"/>
      <c r="D272" s="56"/>
      <c r="E272" s="304"/>
      <c r="F272" s="8"/>
      <c r="G272" s="227"/>
    </row>
    <row r="273" ht="15.75" customHeight="1">
      <c r="A273" s="56"/>
      <c r="B273" s="56"/>
      <c r="C273" s="56"/>
      <c r="D273" s="56"/>
      <c r="E273" s="304"/>
      <c r="F273" s="8"/>
      <c r="G273" s="227"/>
    </row>
    <row r="274" ht="15.75" customHeight="1">
      <c r="A274" s="56"/>
      <c r="B274" s="56"/>
      <c r="C274" s="56"/>
      <c r="D274" s="56"/>
      <c r="E274" s="304"/>
      <c r="F274" s="8"/>
      <c r="G274" s="227"/>
    </row>
    <row r="275" ht="15.75" customHeight="1">
      <c r="A275" s="56"/>
      <c r="B275" s="56"/>
      <c r="C275" s="56"/>
      <c r="D275" s="56"/>
      <c r="E275" s="304"/>
      <c r="F275" s="8"/>
      <c r="G275" s="227"/>
    </row>
    <row r="276" ht="15.75" customHeight="1">
      <c r="A276" s="56"/>
      <c r="B276" s="56"/>
      <c r="C276" s="56"/>
      <c r="D276" s="56"/>
      <c r="E276" s="304"/>
      <c r="F276" s="8"/>
      <c r="G276" s="227"/>
    </row>
    <row r="277" ht="15.75" customHeight="1">
      <c r="A277" s="56"/>
      <c r="B277" s="56"/>
      <c r="C277" s="56"/>
      <c r="D277" s="56"/>
      <c r="E277" s="304"/>
      <c r="F277" s="8"/>
      <c r="G277" s="227"/>
    </row>
    <row r="278" ht="15.75" customHeight="1">
      <c r="A278" s="56"/>
      <c r="B278" s="56"/>
      <c r="C278" s="56"/>
      <c r="D278" s="56"/>
      <c r="E278" s="304"/>
      <c r="F278" s="8"/>
      <c r="G278" s="227"/>
    </row>
    <row r="279" ht="15.75" customHeight="1">
      <c r="A279" s="56"/>
      <c r="B279" s="56"/>
      <c r="C279" s="56"/>
      <c r="D279" s="56"/>
      <c r="E279" s="304"/>
      <c r="F279" s="8"/>
      <c r="G279" s="227"/>
    </row>
    <row r="280" ht="15.75" customHeight="1">
      <c r="A280" s="56"/>
      <c r="B280" s="56"/>
      <c r="C280" s="56"/>
      <c r="D280" s="56"/>
      <c r="E280" s="304"/>
      <c r="F280" s="8"/>
      <c r="G280" s="227"/>
    </row>
    <row r="281" ht="15.75" customHeight="1">
      <c r="A281" s="56"/>
      <c r="B281" s="56"/>
      <c r="C281" s="56"/>
      <c r="D281" s="56"/>
      <c r="E281" s="304"/>
      <c r="F281" s="8"/>
      <c r="G281" s="227"/>
    </row>
    <row r="282" ht="15.75" customHeight="1">
      <c r="A282" s="56"/>
      <c r="B282" s="56"/>
      <c r="C282" s="56"/>
      <c r="D282" s="56"/>
      <c r="E282" s="304"/>
      <c r="F282" s="8"/>
      <c r="G282" s="227"/>
    </row>
    <row r="283" ht="15.75" customHeight="1">
      <c r="A283" s="56"/>
      <c r="B283" s="56"/>
      <c r="C283" s="56"/>
      <c r="D283" s="56"/>
      <c r="E283" s="304"/>
      <c r="F283" s="8"/>
      <c r="G283" s="227"/>
    </row>
    <row r="284" ht="15.75" customHeight="1">
      <c r="A284" s="56"/>
      <c r="B284" s="56"/>
      <c r="C284" s="56"/>
      <c r="D284" s="56"/>
      <c r="E284" s="304"/>
      <c r="F284" s="8"/>
      <c r="G284" s="227"/>
    </row>
    <row r="285" ht="15.75" customHeight="1">
      <c r="A285" s="56"/>
      <c r="B285" s="56"/>
      <c r="C285" s="56"/>
      <c r="D285" s="56"/>
      <c r="E285" s="304"/>
      <c r="F285" s="8"/>
      <c r="G285" s="227"/>
    </row>
    <row r="286" ht="15.75" customHeight="1">
      <c r="A286" s="56"/>
      <c r="B286" s="56"/>
      <c r="C286" s="56"/>
      <c r="D286" s="56"/>
      <c r="E286" s="304"/>
      <c r="F286" s="8"/>
      <c r="G286" s="227"/>
    </row>
    <row r="287" ht="15.75" customHeight="1">
      <c r="A287" s="56"/>
      <c r="B287" s="56"/>
      <c r="C287" s="56"/>
      <c r="D287" s="56"/>
      <c r="E287" s="304"/>
      <c r="F287" s="8"/>
      <c r="G287" s="227"/>
    </row>
    <row r="288" ht="15.75" customHeight="1">
      <c r="A288" s="56"/>
      <c r="B288" s="56"/>
      <c r="C288" s="56"/>
      <c r="D288" s="56"/>
      <c r="E288" s="304"/>
      <c r="F288" s="8"/>
      <c r="G288" s="227"/>
    </row>
    <row r="289" ht="15.75" customHeight="1">
      <c r="A289" s="56"/>
      <c r="B289" s="56"/>
      <c r="C289" s="56"/>
      <c r="D289" s="56"/>
      <c r="E289" s="304"/>
      <c r="F289" s="8"/>
      <c r="G289" s="227"/>
    </row>
    <row r="290" ht="15.75" customHeight="1">
      <c r="A290" s="56"/>
      <c r="B290" s="56"/>
      <c r="C290" s="56"/>
      <c r="D290" s="56"/>
      <c r="E290" s="304"/>
      <c r="F290" s="8"/>
      <c r="G290" s="227"/>
    </row>
    <row r="291" ht="15.75" customHeight="1">
      <c r="A291" s="56"/>
      <c r="B291" s="56"/>
      <c r="C291" s="56"/>
      <c r="D291" s="56"/>
      <c r="E291" s="304"/>
      <c r="F291" s="8"/>
      <c r="G291" s="227"/>
    </row>
    <row r="292" ht="15.75" customHeight="1">
      <c r="A292" s="56"/>
      <c r="B292" s="56"/>
      <c r="C292" s="56"/>
      <c r="D292" s="56"/>
      <c r="E292" s="304"/>
      <c r="F292" s="8"/>
      <c r="G292" s="227"/>
    </row>
    <row r="293" ht="15.75" customHeight="1">
      <c r="A293" s="56"/>
      <c r="B293" s="56"/>
      <c r="C293" s="56"/>
      <c r="D293" s="56"/>
      <c r="E293" s="304"/>
      <c r="F293" s="8"/>
      <c r="G293" s="227"/>
    </row>
    <row r="294" ht="15.75" customHeight="1">
      <c r="A294" s="56"/>
      <c r="B294" s="56"/>
      <c r="C294" s="56"/>
      <c r="D294" s="56"/>
      <c r="E294" s="304"/>
      <c r="F294" s="8"/>
      <c r="G294" s="227"/>
    </row>
    <row r="295" ht="15.75" customHeight="1">
      <c r="A295" s="56"/>
      <c r="B295" s="56"/>
      <c r="C295" s="56"/>
      <c r="D295" s="56"/>
      <c r="E295" s="304"/>
      <c r="F295" s="8"/>
      <c r="G295" s="227"/>
    </row>
    <row r="296" ht="15.75" customHeight="1">
      <c r="A296" s="56"/>
      <c r="B296" s="56"/>
      <c r="C296" s="56"/>
      <c r="D296" s="56"/>
      <c r="E296" s="304"/>
      <c r="F296" s="8"/>
      <c r="G296" s="227"/>
    </row>
    <row r="297" ht="15.75" customHeight="1">
      <c r="A297" s="56"/>
      <c r="B297" s="56"/>
      <c r="C297" s="56"/>
      <c r="D297" s="56"/>
      <c r="E297" s="304"/>
      <c r="F297" s="8"/>
      <c r="G297" s="227"/>
    </row>
    <row r="298" ht="15.75" customHeight="1">
      <c r="A298" s="56"/>
      <c r="B298" s="56"/>
      <c r="C298" s="56"/>
      <c r="D298" s="56"/>
      <c r="E298" s="304"/>
      <c r="F298" s="8"/>
      <c r="G298" s="227"/>
    </row>
    <row r="299" ht="15.75" customHeight="1">
      <c r="A299" s="56"/>
      <c r="B299" s="56"/>
      <c r="C299" s="56"/>
      <c r="D299" s="56"/>
      <c r="E299" s="304"/>
      <c r="F299" s="8"/>
      <c r="G299" s="227"/>
    </row>
    <row r="300" ht="15.75" customHeight="1">
      <c r="A300" s="56"/>
      <c r="B300" s="56"/>
      <c r="C300" s="56"/>
      <c r="D300" s="56"/>
      <c r="E300" s="304"/>
      <c r="F300" s="8"/>
      <c r="G300" s="227"/>
    </row>
    <row r="301" ht="15.75" customHeight="1">
      <c r="A301" s="56"/>
      <c r="B301" s="56"/>
      <c r="C301" s="56"/>
      <c r="D301" s="56"/>
      <c r="E301" s="304"/>
      <c r="F301" s="8"/>
      <c r="G301" s="227"/>
    </row>
    <row r="302" ht="15.75" customHeight="1">
      <c r="A302" s="56"/>
      <c r="B302" s="56"/>
      <c r="C302" s="56"/>
      <c r="D302" s="56"/>
      <c r="E302" s="304"/>
      <c r="F302" s="8"/>
      <c r="G302" s="227"/>
    </row>
    <row r="303" ht="15.75" customHeight="1">
      <c r="A303" s="56"/>
      <c r="B303" s="56"/>
      <c r="C303" s="56"/>
      <c r="D303" s="56"/>
      <c r="E303" s="304"/>
      <c r="F303" s="8"/>
      <c r="G303" s="227"/>
    </row>
    <row r="304" ht="15.75" customHeight="1">
      <c r="A304" s="56"/>
      <c r="B304" s="56"/>
      <c r="C304" s="56"/>
      <c r="D304" s="56"/>
      <c r="E304" s="304"/>
      <c r="F304" s="8"/>
      <c r="G304" s="227"/>
    </row>
    <row r="305" ht="15.75" customHeight="1">
      <c r="A305" s="56"/>
      <c r="B305" s="56"/>
      <c r="C305" s="56"/>
      <c r="D305" s="56"/>
      <c r="E305" s="304"/>
      <c r="F305" s="8"/>
      <c r="G305" s="227"/>
    </row>
    <row r="306" ht="15.75" customHeight="1">
      <c r="A306" s="56"/>
      <c r="B306" s="56"/>
      <c r="C306" s="56"/>
      <c r="D306" s="56"/>
      <c r="E306" s="304"/>
      <c r="F306" s="8"/>
      <c r="G306" s="227"/>
    </row>
    <row r="307" ht="15.75" customHeight="1">
      <c r="A307" s="56"/>
      <c r="B307" s="56"/>
      <c r="C307" s="56"/>
      <c r="D307" s="56"/>
      <c r="E307" s="304"/>
      <c r="F307" s="8"/>
      <c r="G307" s="227"/>
    </row>
    <row r="308" ht="15.75" customHeight="1">
      <c r="A308" s="56"/>
      <c r="B308" s="56"/>
      <c r="C308" s="56"/>
      <c r="D308" s="56"/>
      <c r="E308" s="304"/>
      <c r="F308" s="8"/>
      <c r="G308" s="227"/>
    </row>
    <row r="309" ht="15.75" customHeight="1">
      <c r="A309" s="56"/>
      <c r="B309" s="56"/>
      <c r="C309" s="56"/>
      <c r="D309" s="56"/>
      <c r="E309" s="304"/>
      <c r="F309" s="8"/>
      <c r="G309" s="227"/>
    </row>
    <row r="310" ht="15.75" customHeight="1">
      <c r="A310" s="56"/>
      <c r="B310" s="56"/>
      <c r="C310" s="56"/>
      <c r="D310" s="56"/>
      <c r="E310" s="304"/>
      <c r="F310" s="8"/>
      <c r="G310" s="227"/>
    </row>
    <row r="311" ht="15.75" customHeight="1">
      <c r="A311" s="56"/>
      <c r="B311" s="56"/>
      <c r="C311" s="56"/>
      <c r="D311" s="56"/>
      <c r="E311" s="304"/>
      <c r="F311" s="8"/>
      <c r="G311" s="227"/>
    </row>
    <row r="312" ht="15.75" customHeight="1">
      <c r="A312" s="56"/>
      <c r="B312" s="56"/>
      <c r="C312" s="56"/>
      <c r="D312" s="56"/>
      <c r="E312" s="304"/>
      <c r="F312" s="8"/>
      <c r="G312" s="227"/>
    </row>
    <row r="313" ht="15.75" customHeight="1">
      <c r="A313" s="56"/>
      <c r="B313" s="56"/>
      <c r="C313" s="56"/>
      <c r="D313" s="56"/>
      <c r="E313" s="304"/>
      <c r="F313" s="8"/>
      <c r="G313" s="227"/>
    </row>
    <row r="314" ht="15.75" customHeight="1">
      <c r="A314" s="56"/>
      <c r="B314" s="56"/>
      <c r="C314" s="56"/>
      <c r="D314" s="56"/>
      <c r="E314" s="304"/>
      <c r="F314" s="8"/>
      <c r="G314" s="227"/>
    </row>
    <row r="315" ht="15.75" customHeight="1">
      <c r="A315" s="56"/>
      <c r="B315" s="56"/>
      <c r="C315" s="56"/>
      <c r="D315" s="56"/>
      <c r="E315" s="304"/>
      <c r="F315" s="8"/>
      <c r="G315" s="227"/>
    </row>
    <row r="316" ht="15.75" customHeight="1">
      <c r="A316" s="56"/>
      <c r="B316" s="56"/>
      <c r="C316" s="56"/>
      <c r="D316" s="56"/>
      <c r="E316" s="304"/>
      <c r="F316" s="8"/>
      <c r="G316" s="227"/>
    </row>
    <row r="317" ht="15.75" customHeight="1">
      <c r="A317" s="56"/>
      <c r="B317" s="56"/>
      <c r="C317" s="56"/>
      <c r="D317" s="56"/>
      <c r="E317" s="304"/>
      <c r="F317" s="8"/>
      <c r="G317" s="227"/>
    </row>
    <row r="318" ht="15.75" customHeight="1">
      <c r="A318" s="56"/>
      <c r="B318" s="56"/>
      <c r="C318" s="56"/>
      <c r="D318" s="56"/>
      <c r="E318" s="304"/>
      <c r="F318" s="8"/>
      <c r="G318" s="227"/>
    </row>
    <row r="319" ht="15.75" customHeight="1">
      <c r="A319" s="56"/>
      <c r="B319" s="56"/>
      <c r="C319" s="56"/>
      <c r="D319" s="56"/>
      <c r="E319" s="304"/>
      <c r="F319" s="8"/>
      <c r="G319" s="227"/>
    </row>
    <row r="320" ht="15.75" customHeight="1">
      <c r="A320" s="56"/>
      <c r="B320" s="56"/>
      <c r="C320" s="56"/>
      <c r="D320" s="56"/>
      <c r="E320" s="304"/>
      <c r="F320" s="8"/>
      <c r="G320" s="227"/>
    </row>
    <row r="321" ht="15.75" customHeight="1">
      <c r="A321" s="56"/>
      <c r="B321" s="56"/>
      <c r="C321" s="56"/>
      <c r="D321" s="56"/>
      <c r="E321" s="304"/>
      <c r="F321" s="8"/>
      <c r="G321" s="227"/>
    </row>
    <row r="322" ht="15.75" customHeight="1">
      <c r="A322" s="56"/>
      <c r="B322" s="56"/>
      <c r="C322" s="56"/>
      <c r="D322" s="56"/>
      <c r="E322" s="304"/>
      <c r="F322" s="8"/>
      <c r="G322" s="227"/>
    </row>
    <row r="323" ht="15.75" customHeight="1">
      <c r="A323" s="56"/>
      <c r="B323" s="56"/>
      <c r="C323" s="56"/>
      <c r="D323" s="56"/>
      <c r="E323" s="304"/>
      <c r="F323" s="8"/>
      <c r="G323" s="227"/>
    </row>
    <row r="324" ht="15.75" customHeight="1">
      <c r="A324" s="56"/>
      <c r="B324" s="56"/>
      <c r="C324" s="56"/>
      <c r="D324" s="56"/>
      <c r="E324" s="304"/>
      <c r="F324" s="8"/>
      <c r="G324" s="227"/>
    </row>
    <row r="325" ht="15.75" customHeight="1">
      <c r="A325" s="56"/>
      <c r="B325" s="56"/>
      <c r="C325" s="56"/>
      <c r="D325" s="56"/>
      <c r="E325" s="304"/>
      <c r="F325" s="8"/>
      <c r="G325" s="227"/>
    </row>
    <row r="326" ht="15.75" customHeight="1">
      <c r="A326" s="56"/>
      <c r="B326" s="56"/>
      <c r="C326" s="56"/>
      <c r="D326" s="56"/>
      <c r="E326" s="304"/>
      <c r="F326" s="8"/>
      <c r="G326" s="227"/>
    </row>
    <row r="327" ht="15.75" customHeight="1">
      <c r="A327" s="56"/>
      <c r="B327" s="56"/>
      <c r="C327" s="56"/>
      <c r="D327" s="56"/>
      <c r="E327" s="304"/>
      <c r="F327" s="8"/>
      <c r="G327" s="227"/>
    </row>
    <row r="328" ht="15.75" customHeight="1">
      <c r="A328" s="56"/>
      <c r="B328" s="56"/>
      <c r="C328" s="56"/>
      <c r="D328" s="56"/>
      <c r="E328" s="304"/>
      <c r="F328" s="8"/>
      <c r="G328" s="227"/>
    </row>
    <row r="329" ht="15.75" customHeight="1">
      <c r="A329" s="56"/>
      <c r="B329" s="56"/>
      <c r="C329" s="56"/>
      <c r="D329" s="56"/>
      <c r="E329" s="304"/>
      <c r="F329" s="8"/>
      <c r="G329" s="227"/>
    </row>
    <row r="330" ht="15.75" customHeight="1">
      <c r="A330" s="56"/>
      <c r="B330" s="56"/>
      <c r="C330" s="56"/>
      <c r="D330" s="56"/>
      <c r="E330" s="304"/>
      <c r="F330" s="8"/>
      <c r="G330" s="227"/>
    </row>
    <row r="331" ht="15.75" customHeight="1">
      <c r="A331" s="56"/>
      <c r="B331" s="56"/>
      <c r="C331" s="56"/>
      <c r="D331" s="56"/>
      <c r="E331" s="304"/>
      <c r="F331" s="8"/>
      <c r="G331" s="227"/>
    </row>
    <row r="332" ht="15.75" customHeight="1">
      <c r="A332" s="56"/>
      <c r="B332" s="56"/>
      <c r="C332" s="56"/>
      <c r="D332" s="56"/>
      <c r="E332" s="304"/>
      <c r="F332" s="8"/>
      <c r="G332" s="227"/>
    </row>
    <row r="333" ht="15.75" customHeight="1">
      <c r="A333" s="56"/>
      <c r="B333" s="56"/>
      <c r="C333" s="56"/>
      <c r="D333" s="56"/>
      <c r="E333" s="304"/>
      <c r="F333" s="8"/>
      <c r="G333" s="227"/>
    </row>
    <row r="334" ht="15.75" customHeight="1">
      <c r="A334" s="56"/>
      <c r="B334" s="56"/>
      <c r="C334" s="56"/>
      <c r="D334" s="56"/>
      <c r="E334" s="304"/>
      <c r="F334" s="8"/>
      <c r="G334" s="227"/>
    </row>
    <row r="335" ht="15.75" customHeight="1">
      <c r="A335" s="56"/>
      <c r="B335" s="56"/>
      <c r="C335" s="56"/>
      <c r="D335" s="56"/>
      <c r="E335" s="304"/>
      <c r="F335" s="8"/>
      <c r="G335" s="227"/>
    </row>
    <row r="336" ht="15.75" customHeight="1">
      <c r="A336" s="56"/>
      <c r="B336" s="56"/>
      <c r="C336" s="56"/>
      <c r="D336" s="56"/>
      <c r="E336" s="304"/>
      <c r="F336" s="8"/>
      <c r="G336" s="227"/>
    </row>
    <row r="337" ht="15.75" customHeight="1">
      <c r="A337" s="56"/>
      <c r="B337" s="56"/>
      <c r="C337" s="56"/>
      <c r="D337" s="56"/>
      <c r="E337" s="304"/>
      <c r="F337" s="8"/>
      <c r="G337" s="227"/>
    </row>
    <row r="338" ht="15.75" customHeight="1">
      <c r="A338" s="56"/>
      <c r="B338" s="56"/>
      <c r="C338" s="56"/>
      <c r="D338" s="56"/>
      <c r="E338" s="304"/>
      <c r="F338" s="8"/>
      <c r="G338" s="227"/>
    </row>
    <row r="339" ht="15.75" customHeight="1">
      <c r="A339" s="56"/>
      <c r="B339" s="56"/>
      <c r="C339" s="56"/>
      <c r="D339" s="56"/>
      <c r="E339" s="304"/>
      <c r="F339" s="8"/>
      <c r="G339" s="227"/>
    </row>
    <row r="340" ht="15.75" customHeight="1">
      <c r="A340" s="56"/>
      <c r="B340" s="56"/>
      <c r="C340" s="56"/>
      <c r="D340" s="56"/>
      <c r="E340" s="304"/>
      <c r="F340" s="8"/>
      <c r="G340" s="227"/>
    </row>
    <row r="341" ht="15.75" customHeight="1">
      <c r="A341" s="56"/>
      <c r="B341" s="56"/>
      <c r="C341" s="56"/>
      <c r="D341" s="56"/>
      <c r="E341" s="304"/>
      <c r="F341" s="8"/>
      <c r="G341" s="227"/>
    </row>
    <row r="342" ht="15.75" customHeight="1">
      <c r="A342" s="56"/>
      <c r="B342" s="56"/>
      <c r="C342" s="56"/>
      <c r="D342" s="56"/>
      <c r="E342" s="304"/>
      <c r="F342" s="8"/>
      <c r="G342" s="227"/>
    </row>
    <row r="343" ht="15.75" customHeight="1">
      <c r="A343" s="56"/>
      <c r="B343" s="56"/>
      <c r="C343" s="56"/>
      <c r="D343" s="56"/>
      <c r="E343" s="304"/>
      <c r="F343" s="8"/>
      <c r="G343" s="227"/>
    </row>
    <row r="344" ht="15.75" customHeight="1">
      <c r="A344" s="56"/>
      <c r="B344" s="56"/>
      <c r="C344" s="56"/>
      <c r="D344" s="56"/>
      <c r="E344" s="304"/>
      <c r="F344" s="8"/>
      <c r="G344" s="227"/>
    </row>
    <row r="345" ht="15.75" customHeight="1">
      <c r="A345" s="56"/>
      <c r="B345" s="56"/>
      <c r="C345" s="56"/>
      <c r="D345" s="56"/>
      <c r="E345" s="304"/>
      <c r="F345" s="8"/>
      <c r="G345" s="227"/>
    </row>
    <row r="346" ht="15.75" customHeight="1">
      <c r="A346" s="56"/>
      <c r="B346" s="56"/>
      <c r="C346" s="56"/>
      <c r="D346" s="56"/>
      <c r="E346" s="304"/>
      <c r="F346" s="8"/>
      <c r="G346" s="227"/>
    </row>
    <row r="347" ht="15.75" customHeight="1">
      <c r="A347" s="56"/>
      <c r="B347" s="56"/>
      <c r="C347" s="56"/>
      <c r="D347" s="56"/>
      <c r="E347" s="304"/>
      <c r="F347" s="8"/>
      <c r="G347" s="227"/>
    </row>
    <row r="348" ht="15.75" customHeight="1">
      <c r="A348" s="56"/>
      <c r="B348" s="56"/>
      <c r="C348" s="56"/>
      <c r="D348" s="56"/>
      <c r="E348" s="304"/>
      <c r="F348" s="8"/>
      <c r="G348" s="227"/>
    </row>
    <row r="349" ht="15.75" customHeight="1">
      <c r="A349" s="56"/>
      <c r="B349" s="56"/>
      <c r="C349" s="56"/>
      <c r="D349" s="56"/>
      <c r="E349" s="304"/>
      <c r="F349" s="8"/>
      <c r="G349" s="227"/>
    </row>
    <row r="350" ht="15.75" customHeight="1">
      <c r="A350" s="56"/>
      <c r="B350" s="56"/>
      <c r="C350" s="56"/>
      <c r="D350" s="56"/>
      <c r="E350" s="304"/>
      <c r="F350" s="8"/>
      <c r="G350" s="227"/>
    </row>
    <row r="351" ht="15.75" customHeight="1">
      <c r="A351" s="56"/>
      <c r="B351" s="56"/>
      <c r="C351" s="56"/>
      <c r="D351" s="56"/>
      <c r="E351" s="304"/>
      <c r="F351" s="8"/>
      <c r="G351" s="227"/>
    </row>
    <row r="352" ht="15.75" customHeight="1">
      <c r="A352" s="56"/>
      <c r="B352" s="56"/>
      <c r="C352" s="56"/>
      <c r="D352" s="56"/>
      <c r="E352" s="304"/>
      <c r="F352" s="8"/>
      <c r="G352" s="227"/>
    </row>
    <row r="353" ht="15.75" customHeight="1">
      <c r="A353" s="56"/>
      <c r="B353" s="56"/>
      <c r="C353" s="56"/>
      <c r="D353" s="56"/>
      <c r="E353" s="304"/>
      <c r="F353" s="8"/>
      <c r="G353" s="227"/>
    </row>
    <row r="354" ht="15.75" customHeight="1">
      <c r="A354" s="56"/>
      <c r="B354" s="56"/>
      <c r="C354" s="56"/>
      <c r="D354" s="56"/>
      <c r="E354" s="304"/>
      <c r="F354" s="8"/>
      <c r="G354" s="227"/>
    </row>
    <row r="355" ht="15.75" customHeight="1">
      <c r="A355" s="56"/>
      <c r="B355" s="56"/>
      <c r="C355" s="56"/>
      <c r="D355" s="56"/>
      <c r="E355" s="304"/>
      <c r="F355" s="8"/>
      <c r="G355" s="227"/>
    </row>
    <row r="356" ht="15.75" customHeight="1">
      <c r="A356" s="56"/>
      <c r="B356" s="56"/>
      <c r="C356" s="56"/>
      <c r="D356" s="56"/>
      <c r="E356" s="304"/>
      <c r="F356" s="8"/>
      <c r="G356" s="227"/>
    </row>
    <row r="357" ht="15.75" customHeight="1">
      <c r="A357" s="56"/>
      <c r="B357" s="56"/>
      <c r="C357" s="56"/>
      <c r="D357" s="56"/>
      <c r="E357" s="304"/>
      <c r="F357" s="8"/>
      <c r="G357" s="227"/>
    </row>
    <row r="358" ht="15.75" customHeight="1">
      <c r="A358" s="56"/>
      <c r="B358" s="56"/>
      <c r="C358" s="56"/>
      <c r="D358" s="56"/>
      <c r="E358" s="304"/>
      <c r="F358" s="8"/>
      <c r="G358" s="227"/>
    </row>
    <row r="359" ht="15.75" customHeight="1">
      <c r="A359" s="56"/>
      <c r="B359" s="56"/>
      <c r="C359" s="56"/>
      <c r="D359" s="56"/>
      <c r="E359" s="304"/>
      <c r="F359" s="8"/>
      <c r="G359" s="227"/>
    </row>
    <row r="360" ht="15.75" customHeight="1">
      <c r="A360" s="56"/>
      <c r="B360" s="56"/>
      <c r="C360" s="56"/>
      <c r="D360" s="56"/>
      <c r="E360" s="304"/>
      <c r="F360" s="8"/>
      <c r="G360" s="227"/>
    </row>
    <row r="361" ht="15.75" customHeight="1">
      <c r="A361" s="56"/>
      <c r="B361" s="56"/>
      <c r="C361" s="56"/>
      <c r="D361" s="56"/>
      <c r="E361" s="304"/>
      <c r="F361" s="8"/>
      <c r="G361" s="227"/>
    </row>
    <row r="362" ht="15.75" customHeight="1">
      <c r="A362" s="56"/>
      <c r="B362" s="56"/>
      <c r="C362" s="56"/>
      <c r="D362" s="56"/>
      <c r="E362" s="304"/>
      <c r="F362" s="8"/>
      <c r="G362" s="227"/>
    </row>
    <row r="363" ht="15.75" customHeight="1">
      <c r="A363" s="56"/>
      <c r="B363" s="56"/>
      <c r="C363" s="56"/>
      <c r="D363" s="56"/>
      <c r="E363" s="304"/>
      <c r="F363" s="8"/>
      <c r="G363" s="227"/>
    </row>
    <row r="364" ht="15.75" customHeight="1">
      <c r="A364" s="56"/>
      <c r="B364" s="56"/>
      <c r="C364" s="56"/>
      <c r="D364" s="56"/>
      <c r="E364" s="304"/>
      <c r="F364" s="8"/>
      <c r="G364" s="227"/>
    </row>
    <row r="365" ht="15.75" customHeight="1">
      <c r="A365" s="56"/>
      <c r="B365" s="56"/>
      <c r="C365" s="56"/>
      <c r="D365" s="56"/>
      <c r="E365" s="304"/>
      <c r="F365" s="8"/>
      <c r="G365" s="227"/>
    </row>
    <row r="366" ht="15.75" customHeight="1">
      <c r="A366" s="56"/>
      <c r="B366" s="56"/>
      <c r="C366" s="56"/>
      <c r="D366" s="56"/>
      <c r="E366" s="304"/>
      <c r="F366" s="8"/>
      <c r="G366" s="227"/>
    </row>
    <row r="367" ht="15.75" customHeight="1">
      <c r="A367" s="56"/>
      <c r="B367" s="56"/>
      <c r="C367" s="56"/>
      <c r="D367" s="56"/>
      <c r="E367" s="304"/>
      <c r="F367" s="8"/>
      <c r="G367" s="227"/>
    </row>
    <row r="368" ht="15.75" customHeight="1">
      <c r="A368" s="56"/>
      <c r="B368" s="56"/>
      <c r="C368" s="56"/>
      <c r="D368" s="56"/>
      <c r="E368" s="304"/>
      <c r="F368" s="8"/>
      <c r="G368" s="227"/>
    </row>
    <row r="369" ht="15.75" customHeight="1">
      <c r="A369" s="56"/>
      <c r="B369" s="56"/>
      <c r="C369" s="56"/>
      <c r="D369" s="56"/>
      <c r="E369" s="304"/>
      <c r="F369" s="8"/>
      <c r="G369" s="227"/>
    </row>
    <row r="370" ht="15.75" customHeight="1">
      <c r="A370" s="56"/>
      <c r="B370" s="56"/>
      <c r="C370" s="56"/>
      <c r="D370" s="56"/>
      <c r="E370" s="304"/>
      <c r="F370" s="8"/>
      <c r="G370" s="227"/>
    </row>
    <row r="371" ht="15.75" customHeight="1">
      <c r="A371" s="56"/>
      <c r="B371" s="56"/>
      <c r="C371" s="56"/>
      <c r="D371" s="56"/>
      <c r="E371" s="304"/>
      <c r="F371" s="8"/>
      <c r="G371" s="227"/>
    </row>
    <row r="372" ht="15.75" customHeight="1">
      <c r="A372" s="56"/>
      <c r="B372" s="56"/>
      <c r="C372" s="56"/>
      <c r="D372" s="56"/>
      <c r="E372" s="304"/>
      <c r="F372" s="8"/>
      <c r="G372" s="227"/>
    </row>
    <row r="373" ht="15.75" customHeight="1">
      <c r="A373" s="56"/>
      <c r="B373" s="56"/>
      <c r="C373" s="56"/>
      <c r="D373" s="56"/>
      <c r="E373" s="304"/>
      <c r="F373" s="8"/>
      <c r="G373" s="227"/>
    </row>
    <row r="374" ht="15.75" customHeight="1">
      <c r="A374" s="56"/>
      <c r="B374" s="56"/>
      <c r="C374" s="56"/>
      <c r="D374" s="56"/>
      <c r="E374" s="304"/>
      <c r="F374" s="8"/>
      <c r="G374" s="227"/>
    </row>
    <row r="375" ht="15.75" customHeight="1">
      <c r="A375" s="56"/>
      <c r="B375" s="56"/>
      <c r="C375" s="56"/>
      <c r="D375" s="56"/>
      <c r="E375" s="304"/>
      <c r="F375" s="8"/>
      <c r="G375" s="227"/>
    </row>
    <row r="376" ht="15.75" customHeight="1">
      <c r="A376" s="56"/>
      <c r="B376" s="56"/>
      <c r="C376" s="56"/>
      <c r="D376" s="56"/>
      <c r="E376" s="304"/>
      <c r="F376" s="8"/>
      <c r="G376" s="227"/>
    </row>
    <row r="377" ht="15.75" customHeight="1">
      <c r="A377" s="56"/>
      <c r="B377" s="56"/>
      <c r="C377" s="56"/>
      <c r="D377" s="56"/>
      <c r="E377" s="304"/>
      <c r="F377" s="8"/>
      <c r="G377" s="227"/>
    </row>
    <row r="378" ht="15.75" customHeight="1">
      <c r="A378" s="56"/>
      <c r="B378" s="56"/>
      <c r="C378" s="56"/>
      <c r="D378" s="56"/>
      <c r="E378" s="304"/>
      <c r="F378" s="8"/>
      <c r="G378" s="227"/>
    </row>
    <row r="379" ht="15.75" customHeight="1">
      <c r="A379" s="56"/>
      <c r="B379" s="56"/>
      <c r="C379" s="56"/>
      <c r="D379" s="56"/>
      <c r="E379" s="304"/>
      <c r="F379" s="8"/>
      <c r="G379" s="227"/>
    </row>
    <row r="380" ht="15.75" customHeight="1">
      <c r="A380" s="56"/>
      <c r="B380" s="56"/>
      <c r="C380" s="56"/>
      <c r="D380" s="56"/>
      <c r="E380" s="304"/>
      <c r="F380" s="8"/>
      <c r="G380" s="227"/>
    </row>
    <row r="381" ht="15.75" customHeight="1">
      <c r="A381" s="56"/>
      <c r="B381" s="56"/>
      <c r="C381" s="56"/>
      <c r="D381" s="56"/>
      <c r="E381" s="304"/>
      <c r="F381" s="8"/>
      <c r="G381" s="227"/>
    </row>
    <row r="382" ht="15.75" customHeight="1">
      <c r="A382" s="56"/>
      <c r="B382" s="56"/>
      <c r="C382" s="56"/>
      <c r="D382" s="56"/>
      <c r="E382" s="304"/>
      <c r="F382" s="8"/>
      <c r="G382" s="227"/>
    </row>
    <row r="383" ht="15.75" customHeight="1">
      <c r="A383" s="56"/>
      <c r="B383" s="56"/>
      <c r="C383" s="56"/>
      <c r="D383" s="56"/>
      <c r="E383" s="304"/>
      <c r="F383" s="8"/>
      <c r="G383" s="227"/>
    </row>
    <row r="384" ht="15.75" customHeight="1">
      <c r="A384" s="56"/>
      <c r="B384" s="56"/>
      <c r="C384" s="56"/>
      <c r="D384" s="56"/>
      <c r="E384" s="304"/>
      <c r="F384" s="8"/>
      <c r="G384" s="227"/>
    </row>
    <row r="385" ht="15.75" customHeight="1">
      <c r="A385" s="56"/>
      <c r="B385" s="56"/>
      <c r="C385" s="56"/>
      <c r="D385" s="56"/>
      <c r="E385" s="304"/>
      <c r="F385" s="8"/>
      <c r="G385" s="227"/>
    </row>
    <row r="386" ht="15.75" customHeight="1">
      <c r="A386" s="56"/>
      <c r="B386" s="56"/>
      <c r="C386" s="56"/>
      <c r="D386" s="56"/>
      <c r="E386" s="304"/>
      <c r="F386" s="8"/>
      <c r="G386" s="227"/>
    </row>
    <row r="387" ht="15.75" customHeight="1">
      <c r="A387" s="56"/>
      <c r="B387" s="56"/>
      <c r="C387" s="56"/>
      <c r="D387" s="56"/>
      <c r="E387" s="304"/>
      <c r="F387" s="8"/>
      <c r="G387" s="227"/>
    </row>
    <row r="388" ht="15.75" customHeight="1">
      <c r="A388" s="56"/>
      <c r="B388" s="56"/>
      <c r="C388" s="56"/>
      <c r="D388" s="56"/>
      <c r="E388" s="304"/>
      <c r="F388" s="8"/>
      <c r="G388" s="227"/>
    </row>
    <row r="389" ht="15.75" customHeight="1">
      <c r="A389" s="56"/>
      <c r="B389" s="56"/>
      <c r="C389" s="56"/>
      <c r="D389" s="56"/>
      <c r="E389" s="304"/>
      <c r="F389" s="8"/>
      <c r="G389" s="227"/>
    </row>
    <row r="390" ht="15.75" customHeight="1">
      <c r="A390" s="56"/>
      <c r="B390" s="56"/>
      <c r="C390" s="56"/>
      <c r="D390" s="56"/>
      <c r="E390" s="304"/>
      <c r="F390" s="8"/>
      <c r="G390" s="227"/>
    </row>
    <row r="391" ht="15.75" customHeight="1">
      <c r="A391" s="56"/>
      <c r="B391" s="56"/>
      <c r="C391" s="56"/>
      <c r="D391" s="56"/>
      <c r="E391" s="304"/>
      <c r="F391" s="8"/>
      <c r="G391" s="227"/>
    </row>
    <row r="392" ht="15.75" customHeight="1">
      <c r="A392" s="56"/>
      <c r="B392" s="56"/>
      <c r="C392" s="56"/>
      <c r="D392" s="56"/>
      <c r="E392" s="304"/>
      <c r="F392" s="8"/>
      <c r="G392" s="227"/>
    </row>
    <row r="393" ht="15.75" customHeight="1">
      <c r="A393" s="56"/>
      <c r="B393" s="56"/>
      <c r="C393" s="56"/>
      <c r="D393" s="56"/>
      <c r="E393" s="304"/>
      <c r="F393" s="8"/>
      <c r="G393" s="227"/>
    </row>
    <row r="394" ht="15.75" customHeight="1">
      <c r="A394" s="56"/>
      <c r="B394" s="56"/>
      <c r="C394" s="56"/>
      <c r="D394" s="56"/>
      <c r="E394" s="304"/>
      <c r="F394" s="8"/>
      <c r="G394" s="227"/>
    </row>
    <row r="395" ht="15.75" customHeight="1">
      <c r="A395" s="56"/>
      <c r="B395" s="56"/>
      <c r="C395" s="56"/>
      <c r="D395" s="56"/>
      <c r="E395" s="304"/>
      <c r="F395" s="8"/>
      <c r="G395" s="227"/>
    </row>
    <row r="396" ht="15.75" customHeight="1">
      <c r="A396" s="56"/>
      <c r="B396" s="56"/>
      <c r="C396" s="56"/>
      <c r="D396" s="56"/>
      <c r="E396" s="304"/>
      <c r="F396" s="8"/>
      <c r="G396" s="227"/>
    </row>
    <row r="397" ht="15.75" customHeight="1">
      <c r="A397" s="56"/>
      <c r="B397" s="56"/>
      <c r="C397" s="56"/>
      <c r="D397" s="56"/>
      <c r="E397" s="304"/>
      <c r="F397" s="8"/>
      <c r="G397" s="227"/>
    </row>
    <row r="398" ht="15.75" customHeight="1">
      <c r="A398" s="56"/>
      <c r="B398" s="56"/>
      <c r="C398" s="56"/>
      <c r="D398" s="56"/>
      <c r="E398" s="304"/>
      <c r="F398" s="8"/>
      <c r="G398" s="227"/>
    </row>
    <row r="399" ht="15.75" customHeight="1">
      <c r="A399" s="56"/>
      <c r="B399" s="56"/>
      <c r="C399" s="56"/>
      <c r="D399" s="56"/>
      <c r="E399" s="304"/>
      <c r="F399" s="8"/>
      <c r="G399" s="227"/>
    </row>
    <row r="400" ht="15.75" customHeight="1">
      <c r="A400" s="56"/>
      <c r="B400" s="56"/>
      <c r="C400" s="56"/>
      <c r="D400" s="56"/>
      <c r="E400" s="304"/>
      <c r="F400" s="8"/>
      <c r="G400" s="227"/>
    </row>
    <row r="401" ht="15.75" customHeight="1">
      <c r="A401" s="56"/>
      <c r="B401" s="56"/>
      <c r="C401" s="56"/>
      <c r="D401" s="56"/>
      <c r="E401" s="304"/>
      <c r="F401" s="8"/>
      <c r="G401" s="227"/>
    </row>
    <row r="402" ht="15.75" customHeight="1">
      <c r="A402" s="56"/>
      <c r="B402" s="56"/>
      <c r="C402" s="56"/>
      <c r="D402" s="56"/>
      <c r="E402" s="304"/>
      <c r="F402" s="8"/>
      <c r="G402" s="227"/>
    </row>
    <row r="403" ht="15.75" customHeight="1">
      <c r="A403" s="56"/>
      <c r="B403" s="56"/>
      <c r="C403" s="56"/>
      <c r="D403" s="56"/>
      <c r="E403" s="304"/>
      <c r="F403" s="8"/>
      <c r="G403" s="227"/>
    </row>
    <row r="404" ht="15.75" customHeight="1">
      <c r="A404" s="56"/>
      <c r="B404" s="56"/>
      <c r="C404" s="56"/>
      <c r="D404" s="56"/>
      <c r="E404" s="304"/>
      <c r="F404" s="8"/>
      <c r="G404" s="227"/>
    </row>
    <row r="405" ht="15.75" customHeight="1">
      <c r="A405" s="56"/>
      <c r="B405" s="56"/>
      <c r="C405" s="56"/>
      <c r="D405" s="56"/>
      <c r="E405" s="304"/>
      <c r="F405" s="8"/>
      <c r="G405" s="227"/>
    </row>
    <row r="406" ht="15.75" customHeight="1">
      <c r="A406" s="56"/>
      <c r="B406" s="56"/>
      <c r="C406" s="56"/>
      <c r="D406" s="56"/>
      <c r="E406" s="304"/>
      <c r="F406" s="8"/>
      <c r="G406" s="227"/>
    </row>
    <row r="407" ht="15.75" customHeight="1">
      <c r="A407" s="56"/>
      <c r="B407" s="56"/>
      <c r="C407" s="56"/>
      <c r="D407" s="56"/>
      <c r="E407" s="304"/>
      <c r="F407" s="8"/>
      <c r="G407" s="227"/>
    </row>
    <row r="408" ht="15.75" customHeight="1">
      <c r="A408" s="56"/>
      <c r="B408" s="56"/>
      <c r="C408" s="56"/>
      <c r="D408" s="56"/>
      <c r="E408" s="304"/>
      <c r="F408" s="8"/>
      <c r="G408" s="227"/>
    </row>
    <row r="409" ht="15.75" customHeight="1">
      <c r="A409" s="56"/>
      <c r="B409" s="56"/>
      <c r="C409" s="56"/>
      <c r="D409" s="56"/>
      <c r="E409" s="304"/>
      <c r="F409" s="8"/>
      <c r="G409" s="227"/>
    </row>
    <row r="410" ht="15.75" customHeight="1">
      <c r="A410" s="56"/>
      <c r="B410" s="56"/>
      <c r="C410" s="56"/>
      <c r="D410" s="56"/>
      <c r="E410" s="304"/>
      <c r="F410" s="8"/>
      <c r="G410" s="227"/>
    </row>
    <row r="411" ht="15.75" customHeight="1">
      <c r="A411" s="56"/>
      <c r="B411" s="56"/>
      <c r="C411" s="56"/>
      <c r="D411" s="56"/>
      <c r="E411" s="304"/>
      <c r="F411" s="8"/>
      <c r="G411" s="227"/>
    </row>
    <row r="412" ht="15.75" customHeight="1">
      <c r="A412" s="56"/>
      <c r="B412" s="56"/>
      <c r="C412" s="56"/>
      <c r="D412" s="56"/>
      <c r="E412" s="304"/>
      <c r="F412" s="8"/>
      <c r="G412" s="227"/>
    </row>
    <row r="413" ht="15.75" customHeight="1">
      <c r="A413" s="56"/>
      <c r="B413" s="56"/>
      <c r="C413" s="56"/>
      <c r="D413" s="56"/>
      <c r="E413" s="304"/>
      <c r="F413" s="8"/>
      <c r="G413" s="227"/>
    </row>
    <row r="414" ht="15.75" customHeight="1">
      <c r="A414" s="56"/>
      <c r="B414" s="56"/>
      <c r="C414" s="56"/>
      <c r="D414" s="56"/>
      <c r="E414" s="304"/>
      <c r="F414" s="8"/>
      <c r="G414" s="227"/>
    </row>
    <row r="415" ht="15.75" customHeight="1">
      <c r="A415" s="56"/>
      <c r="B415" s="56"/>
      <c r="C415" s="56"/>
      <c r="D415" s="56"/>
      <c r="E415" s="304"/>
      <c r="F415" s="8"/>
      <c r="G415" s="227"/>
    </row>
    <row r="416" ht="15.75" customHeight="1">
      <c r="A416" s="56"/>
      <c r="B416" s="56"/>
      <c r="C416" s="56"/>
      <c r="D416" s="56"/>
      <c r="E416" s="304"/>
      <c r="F416" s="8"/>
      <c r="G416" s="227"/>
    </row>
    <row r="417" ht="15.75" customHeight="1">
      <c r="A417" s="56"/>
      <c r="B417" s="56"/>
      <c r="C417" s="56"/>
      <c r="D417" s="56"/>
      <c r="E417" s="304"/>
      <c r="F417" s="8"/>
      <c r="G417" s="227"/>
    </row>
    <row r="418" ht="15.75" customHeight="1">
      <c r="A418" s="56"/>
      <c r="B418" s="56"/>
      <c r="C418" s="56"/>
      <c r="D418" s="56"/>
      <c r="E418" s="304"/>
      <c r="F418" s="8"/>
      <c r="G418" s="227"/>
    </row>
    <row r="419" ht="15.75" customHeight="1">
      <c r="A419" s="56"/>
      <c r="B419" s="56"/>
      <c r="C419" s="56"/>
      <c r="D419" s="56"/>
      <c r="E419" s="304"/>
      <c r="F419" s="8"/>
      <c r="G419" s="227"/>
    </row>
    <row r="420" ht="15.75" customHeight="1">
      <c r="A420" s="56"/>
      <c r="B420" s="56"/>
      <c r="C420" s="56"/>
      <c r="D420" s="56"/>
      <c r="E420" s="304"/>
      <c r="F420" s="8"/>
      <c r="G420" s="227"/>
    </row>
    <row r="421" ht="15.75" customHeight="1">
      <c r="A421" s="56"/>
      <c r="B421" s="56"/>
      <c r="C421" s="56"/>
      <c r="D421" s="56"/>
      <c r="E421" s="304"/>
      <c r="F421" s="8"/>
      <c r="G421" s="227"/>
    </row>
    <row r="422" ht="15.75" customHeight="1">
      <c r="A422" s="56"/>
      <c r="B422" s="56"/>
      <c r="C422" s="56"/>
      <c r="D422" s="56"/>
      <c r="E422" s="304"/>
      <c r="F422" s="8"/>
      <c r="G422" s="227"/>
    </row>
    <row r="423" ht="15.75" customHeight="1">
      <c r="A423" s="56"/>
      <c r="B423" s="56"/>
      <c r="C423" s="56"/>
      <c r="D423" s="56"/>
      <c r="E423" s="304"/>
      <c r="F423" s="8"/>
      <c r="G423" s="227"/>
    </row>
    <row r="424" ht="15.75" customHeight="1">
      <c r="A424" s="56"/>
      <c r="B424" s="56"/>
      <c r="C424" s="56"/>
      <c r="D424" s="56"/>
      <c r="E424" s="304"/>
      <c r="F424" s="8"/>
      <c r="G424" s="227"/>
    </row>
    <row r="425" ht="15.75" customHeight="1">
      <c r="A425" s="56"/>
      <c r="B425" s="56"/>
      <c r="C425" s="56"/>
      <c r="D425" s="56"/>
      <c r="E425" s="304"/>
      <c r="F425" s="8"/>
      <c r="G425" s="227"/>
    </row>
    <row r="426" ht="15.75" customHeight="1">
      <c r="A426" s="56"/>
      <c r="B426" s="56"/>
      <c r="C426" s="56"/>
      <c r="D426" s="56"/>
      <c r="E426" s="304"/>
      <c r="F426" s="8"/>
      <c r="G426" s="227"/>
    </row>
    <row r="427" ht="15.75" customHeight="1">
      <c r="A427" s="56"/>
      <c r="B427" s="56"/>
      <c r="C427" s="56"/>
      <c r="D427" s="56"/>
      <c r="E427" s="304"/>
      <c r="F427" s="8"/>
      <c r="G427" s="227"/>
    </row>
    <row r="428" ht="15.75" customHeight="1">
      <c r="A428" s="56"/>
      <c r="B428" s="56"/>
      <c r="C428" s="56"/>
      <c r="D428" s="56"/>
      <c r="E428" s="304"/>
      <c r="F428" s="8"/>
      <c r="G428" s="227"/>
    </row>
    <row r="429" ht="15.75" customHeight="1">
      <c r="A429" s="56"/>
      <c r="B429" s="56"/>
      <c r="C429" s="56"/>
      <c r="D429" s="56"/>
      <c r="E429" s="304"/>
      <c r="F429" s="8"/>
      <c r="G429" s="227"/>
    </row>
    <row r="430" ht="15.75" customHeight="1">
      <c r="A430" s="56"/>
      <c r="B430" s="56"/>
      <c r="C430" s="56"/>
      <c r="D430" s="56"/>
      <c r="E430" s="304"/>
      <c r="F430" s="8"/>
      <c r="G430" s="227"/>
    </row>
    <row r="431" ht="15.75" customHeight="1">
      <c r="A431" s="56"/>
      <c r="B431" s="56"/>
      <c r="C431" s="56"/>
      <c r="D431" s="56"/>
      <c r="E431" s="304"/>
      <c r="F431" s="8"/>
      <c r="G431" s="227"/>
    </row>
    <row r="432" ht="15.75" customHeight="1">
      <c r="A432" s="56"/>
      <c r="B432" s="56"/>
      <c r="C432" s="56"/>
      <c r="D432" s="56"/>
      <c r="E432" s="304"/>
      <c r="F432" s="8"/>
      <c r="G432" s="227"/>
    </row>
    <row r="433" ht="15.75" customHeight="1">
      <c r="A433" s="56"/>
      <c r="B433" s="56"/>
      <c r="C433" s="56"/>
      <c r="D433" s="56"/>
      <c r="E433" s="304"/>
      <c r="F433" s="8"/>
      <c r="G433" s="227"/>
    </row>
    <row r="434" ht="15.75" customHeight="1">
      <c r="A434" s="56"/>
      <c r="B434" s="56"/>
      <c r="C434" s="56"/>
      <c r="D434" s="56"/>
      <c r="E434" s="304"/>
      <c r="F434" s="8"/>
      <c r="G434" s="227"/>
    </row>
    <row r="435" ht="15.75" customHeight="1">
      <c r="A435" s="56"/>
      <c r="B435" s="56"/>
      <c r="C435" s="56"/>
      <c r="D435" s="56"/>
      <c r="E435" s="304"/>
      <c r="F435" s="8"/>
      <c r="G435" s="227"/>
    </row>
    <row r="436" ht="15.75" customHeight="1">
      <c r="A436" s="56"/>
      <c r="B436" s="56"/>
      <c r="C436" s="56"/>
      <c r="D436" s="56"/>
      <c r="E436" s="304"/>
      <c r="F436" s="8"/>
      <c r="G436" s="227"/>
    </row>
    <row r="437" ht="15.75" customHeight="1">
      <c r="A437" s="56"/>
      <c r="B437" s="56"/>
      <c r="C437" s="56"/>
      <c r="D437" s="56"/>
      <c r="E437" s="304"/>
      <c r="F437" s="8"/>
      <c r="G437" s="227"/>
    </row>
    <row r="438" ht="15.75" customHeight="1">
      <c r="A438" s="56"/>
      <c r="B438" s="56"/>
      <c r="C438" s="56"/>
      <c r="D438" s="56"/>
      <c r="E438" s="304"/>
      <c r="F438" s="8"/>
      <c r="G438" s="227"/>
    </row>
    <row r="439" ht="15.75" customHeight="1">
      <c r="A439" s="56"/>
      <c r="B439" s="56"/>
      <c r="C439" s="56"/>
      <c r="D439" s="56"/>
      <c r="E439" s="304"/>
      <c r="F439" s="8"/>
      <c r="G439" s="227"/>
    </row>
    <row r="440" ht="15.75" customHeight="1">
      <c r="A440" s="56"/>
      <c r="B440" s="56"/>
      <c r="C440" s="56"/>
      <c r="D440" s="56"/>
      <c r="E440" s="304"/>
      <c r="F440" s="8"/>
      <c r="G440" s="227"/>
    </row>
    <row r="441" ht="15.75" customHeight="1">
      <c r="A441" s="56"/>
      <c r="B441" s="56"/>
      <c r="C441" s="56"/>
      <c r="D441" s="56"/>
      <c r="E441" s="304"/>
      <c r="F441" s="8"/>
      <c r="G441" s="227"/>
    </row>
    <row r="442" ht="15.75" customHeight="1">
      <c r="A442" s="56"/>
      <c r="B442" s="56"/>
      <c r="C442" s="56"/>
      <c r="D442" s="56"/>
      <c r="E442" s="304"/>
      <c r="F442" s="8"/>
      <c r="G442" s="227"/>
    </row>
    <row r="443" ht="15.75" customHeight="1">
      <c r="A443" s="56"/>
      <c r="B443" s="56"/>
      <c r="C443" s="56"/>
      <c r="D443" s="56"/>
      <c r="E443" s="304"/>
      <c r="F443" s="8"/>
      <c r="G443" s="227"/>
    </row>
    <row r="444" ht="15.75" customHeight="1">
      <c r="A444" s="56"/>
      <c r="B444" s="56"/>
      <c r="C444" s="56"/>
      <c r="D444" s="56"/>
      <c r="E444" s="304"/>
      <c r="F444" s="8"/>
      <c r="G444" s="227"/>
    </row>
    <row r="445" ht="15.75" customHeight="1">
      <c r="A445" s="56"/>
      <c r="B445" s="56"/>
      <c r="C445" s="56"/>
      <c r="D445" s="56"/>
      <c r="E445" s="304"/>
      <c r="F445" s="8"/>
      <c r="G445" s="227"/>
    </row>
    <row r="446" ht="15.75" customHeight="1">
      <c r="A446" s="56"/>
      <c r="B446" s="56"/>
      <c r="C446" s="56"/>
      <c r="D446" s="56"/>
      <c r="E446" s="304"/>
      <c r="F446" s="8"/>
      <c r="G446" s="227"/>
    </row>
    <row r="447" ht="15.75" customHeight="1">
      <c r="A447" s="56"/>
      <c r="B447" s="56"/>
      <c r="C447" s="56"/>
      <c r="D447" s="56"/>
      <c r="E447" s="304"/>
      <c r="F447" s="8"/>
      <c r="G447" s="227"/>
    </row>
    <row r="448" ht="15.75" customHeight="1">
      <c r="A448" s="56"/>
      <c r="B448" s="56"/>
      <c r="C448" s="56"/>
      <c r="D448" s="56"/>
      <c r="E448" s="304"/>
      <c r="F448" s="8"/>
      <c r="G448" s="227"/>
    </row>
    <row r="449" ht="15.75" customHeight="1">
      <c r="A449" s="56"/>
      <c r="B449" s="56"/>
      <c r="C449" s="56"/>
      <c r="D449" s="56"/>
      <c r="E449" s="304"/>
      <c r="F449" s="8"/>
      <c r="G449" s="227"/>
    </row>
    <row r="450" ht="15.75" customHeight="1">
      <c r="A450" s="56"/>
      <c r="B450" s="56"/>
      <c r="C450" s="56"/>
      <c r="D450" s="56"/>
      <c r="E450" s="304"/>
      <c r="F450" s="8"/>
      <c r="G450" s="227"/>
    </row>
    <row r="451" ht="15.75" customHeight="1">
      <c r="A451" s="56"/>
      <c r="B451" s="56"/>
      <c r="C451" s="56"/>
      <c r="D451" s="56"/>
      <c r="E451" s="304"/>
      <c r="F451" s="8"/>
      <c r="G451" s="227"/>
    </row>
    <row r="452" ht="15.75" customHeight="1">
      <c r="A452" s="56"/>
      <c r="B452" s="56"/>
      <c r="C452" s="56"/>
      <c r="D452" s="56"/>
      <c r="E452" s="304"/>
      <c r="F452" s="8"/>
      <c r="G452" s="227"/>
    </row>
    <row r="453" ht="15.75" customHeight="1">
      <c r="A453" s="56"/>
      <c r="B453" s="56"/>
      <c r="C453" s="56"/>
      <c r="D453" s="56"/>
      <c r="E453" s="304"/>
      <c r="F453" s="8"/>
      <c r="G453" s="227"/>
    </row>
    <row r="454" ht="15.75" customHeight="1">
      <c r="A454" s="56"/>
      <c r="B454" s="56"/>
      <c r="C454" s="56"/>
      <c r="D454" s="56"/>
      <c r="E454" s="304"/>
      <c r="F454" s="8"/>
      <c r="G454" s="227"/>
    </row>
    <row r="455" ht="15.75" customHeight="1">
      <c r="A455" s="56"/>
      <c r="B455" s="56"/>
      <c r="C455" s="56"/>
      <c r="D455" s="56"/>
      <c r="E455" s="304"/>
      <c r="F455" s="8"/>
      <c r="G455" s="227"/>
    </row>
    <row r="456" ht="15.75" customHeight="1">
      <c r="A456" s="56"/>
      <c r="B456" s="56"/>
      <c r="C456" s="56"/>
      <c r="D456" s="56"/>
      <c r="E456" s="304"/>
      <c r="F456" s="8"/>
      <c r="G456" s="227"/>
    </row>
    <row r="457" ht="15.75" customHeight="1">
      <c r="A457" s="56"/>
      <c r="B457" s="56"/>
      <c r="C457" s="56"/>
      <c r="D457" s="56"/>
      <c r="E457" s="304"/>
      <c r="F457" s="8"/>
      <c r="G457" s="227"/>
    </row>
    <row r="458" ht="15.75" customHeight="1">
      <c r="A458" s="56"/>
      <c r="B458" s="56"/>
      <c r="C458" s="56"/>
      <c r="D458" s="56"/>
      <c r="E458" s="304"/>
      <c r="F458" s="8"/>
      <c r="G458" s="227"/>
    </row>
    <row r="459" ht="15.75" customHeight="1">
      <c r="A459" s="56"/>
      <c r="B459" s="56"/>
      <c r="C459" s="56"/>
      <c r="D459" s="56"/>
      <c r="E459" s="304"/>
      <c r="F459" s="8"/>
      <c r="G459" s="227"/>
    </row>
    <row r="460" ht="15.75" customHeight="1">
      <c r="A460" s="56"/>
      <c r="B460" s="56"/>
      <c r="C460" s="56"/>
      <c r="D460" s="56"/>
      <c r="E460" s="304"/>
      <c r="F460" s="8"/>
      <c r="G460" s="227"/>
    </row>
    <row r="461" ht="15.75" customHeight="1">
      <c r="A461" s="56"/>
      <c r="B461" s="56"/>
      <c r="C461" s="56"/>
      <c r="D461" s="56"/>
      <c r="E461" s="304"/>
      <c r="F461" s="8"/>
      <c r="G461" s="227"/>
    </row>
    <row r="462" ht="15.75" customHeight="1">
      <c r="A462" s="56"/>
      <c r="B462" s="56"/>
      <c r="C462" s="56"/>
      <c r="D462" s="56"/>
      <c r="E462" s="304"/>
      <c r="F462" s="8"/>
      <c r="G462" s="227"/>
    </row>
    <row r="463" ht="15.75" customHeight="1">
      <c r="A463" s="56"/>
      <c r="B463" s="56"/>
      <c r="C463" s="56"/>
      <c r="D463" s="56"/>
      <c r="E463" s="304"/>
      <c r="F463" s="8"/>
      <c r="G463" s="227"/>
    </row>
    <row r="464" ht="15.75" customHeight="1">
      <c r="A464" s="56"/>
      <c r="B464" s="56"/>
      <c r="C464" s="56"/>
      <c r="D464" s="56"/>
      <c r="E464" s="304"/>
      <c r="F464" s="8"/>
      <c r="G464" s="227"/>
    </row>
    <row r="465" ht="15.75" customHeight="1">
      <c r="A465" s="56"/>
      <c r="B465" s="56"/>
      <c r="C465" s="56"/>
      <c r="D465" s="56"/>
      <c r="E465" s="304"/>
      <c r="F465" s="8"/>
      <c r="G465" s="227"/>
    </row>
    <row r="466" ht="15.75" customHeight="1">
      <c r="A466" s="56"/>
      <c r="B466" s="56"/>
      <c r="C466" s="56"/>
      <c r="D466" s="56"/>
      <c r="E466" s="304"/>
      <c r="F466" s="8"/>
      <c r="G466" s="227"/>
    </row>
    <row r="467" ht="15.75" customHeight="1">
      <c r="A467" s="56"/>
      <c r="B467" s="56"/>
      <c r="C467" s="56"/>
      <c r="D467" s="56"/>
      <c r="E467" s="304"/>
      <c r="F467" s="8"/>
      <c r="G467" s="227"/>
    </row>
    <row r="468" ht="15.75" customHeight="1">
      <c r="A468" s="56"/>
      <c r="B468" s="56"/>
      <c r="C468" s="56"/>
      <c r="D468" s="56"/>
      <c r="E468" s="304"/>
      <c r="F468" s="8"/>
      <c r="G468" s="227"/>
    </row>
    <row r="469" ht="15.75" customHeight="1">
      <c r="A469" s="56"/>
      <c r="B469" s="56"/>
      <c r="C469" s="56"/>
      <c r="D469" s="56"/>
      <c r="E469" s="304"/>
      <c r="F469" s="8"/>
      <c r="G469" s="227"/>
    </row>
    <row r="470" ht="15.75" customHeight="1">
      <c r="A470" s="56"/>
      <c r="B470" s="56"/>
      <c r="C470" s="56"/>
      <c r="D470" s="56"/>
      <c r="E470" s="304"/>
      <c r="F470" s="8"/>
      <c r="G470" s="227"/>
    </row>
    <row r="471" ht="15.75" customHeight="1">
      <c r="A471" s="56"/>
      <c r="B471" s="56"/>
      <c r="C471" s="56"/>
      <c r="D471" s="56"/>
      <c r="E471" s="304"/>
      <c r="F471" s="8"/>
      <c r="G471" s="227"/>
    </row>
    <row r="472" ht="15.75" customHeight="1">
      <c r="A472" s="56"/>
      <c r="B472" s="56"/>
      <c r="C472" s="56"/>
      <c r="D472" s="56"/>
      <c r="E472" s="304"/>
      <c r="F472" s="8"/>
      <c r="G472" s="227"/>
    </row>
    <row r="473" ht="15.75" customHeight="1">
      <c r="A473" s="56"/>
      <c r="B473" s="56"/>
      <c r="C473" s="56"/>
      <c r="D473" s="56"/>
      <c r="E473" s="304"/>
      <c r="F473" s="8"/>
      <c r="G473" s="227"/>
    </row>
    <row r="474" ht="15.75" customHeight="1">
      <c r="A474" s="56"/>
      <c r="B474" s="56"/>
      <c r="C474" s="56"/>
      <c r="D474" s="56"/>
      <c r="E474" s="304"/>
      <c r="F474" s="8"/>
      <c r="G474" s="227"/>
    </row>
    <row r="475" ht="15.75" customHeight="1">
      <c r="A475" s="56"/>
      <c r="B475" s="56"/>
      <c r="C475" s="56"/>
      <c r="D475" s="56"/>
      <c r="E475" s="304"/>
      <c r="F475" s="8"/>
      <c r="G475" s="227"/>
    </row>
    <row r="476" ht="15.75" customHeight="1">
      <c r="A476" s="56"/>
      <c r="B476" s="56"/>
      <c r="C476" s="56"/>
      <c r="D476" s="56"/>
      <c r="E476" s="304"/>
      <c r="F476" s="8"/>
      <c r="G476" s="227"/>
    </row>
    <row r="477" ht="15.75" customHeight="1">
      <c r="A477" s="56"/>
      <c r="B477" s="56"/>
      <c r="C477" s="56"/>
      <c r="D477" s="56"/>
      <c r="E477" s="304"/>
      <c r="F477" s="8"/>
      <c r="G477" s="227"/>
    </row>
    <row r="478" ht="15.75" customHeight="1">
      <c r="A478" s="56"/>
      <c r="B478" s="56"/>
      <c r="C478" s="56"/>
      <c r="D478" s="56"/>
      <c r="E478" s="304"/>
      <c r="F478" s="8"/>
      <c r="G478" s="227"/>
    </row>
    <row r="479" ht="15.75" customHeight="1">
      <c r="A479" s="56"/>
      <c r="B479" s="56"/>
      <c r="C479" s="56"/>
      <c r="D479" s="56"/>
      <c r="E479" s="304"/>
      <c r="F479" s="8"/>
      <c r="G479" s="227"/>
    </row>
    <row r="480" ht="15.75" customHeight="1">
      <c r="A480" s="56"/>
      <c r="B480" s="56"/>
      <c r="C480" s="56"/>
      <c r="D480" s="56"/>
      <c r="E480" s="304"/>
      <c r="F480" s="8"/>
      <c r="G480" s="227"/>
    </row>
    <row r="481" ht="15.75" customHeight="1">
      <c r="A481" s="56"/>
      <c r="B481" s="56"/>
      <c r="C481" s="56"/>
      <c r="D481" s="56"/>
      <c r="E481" s="304"/>
      <c r="F481" s="8"/>
      <c r="G481" s="227"/>
    </row>
    <row r="482" ht="15.75" customHeight="1">
      <c r="A482" s="56"/>
      <c r="B482" s="56"/>
      <c r="C482" s="56"/>
      <c r="D482" s="56"/>
      <c r="E482" s="304"/>
      <c r="F482" s="8"/>
      <c r="G482" s="227"/>
    </row>
    <row r="483" ht="15.75" customHeight="1">
      <c r="A483" s="56"/>
      <c r="B483" s="56"/>
      <c r="C483" s="56"/>
      <c r="D483" s="56"/>
      <c r="E483" s="304"/>
      <c r="F483" s="8"/>
      <c r="G483" s="227"/>
    </row>
    <row r="484" ht="15.75" customHeight="1">
      <c r="A484" s="56"/>
      <c r="B484" s="56"/>
      <c r="C484" s="56"/>
      <c r="D484" s="56"/>
      <c r="E484" s="304"/>
      <c r="F484" s="8"/>
      <c r="G484" s="227"/>
    </row>
    <row r="485" ht="15.75" customHeight="1">
      <c r="A485" s="56"/>
      <c r="B485" s="56"/>
      <c r="C485" s="56"/>
      <c r="D485" s="56"/>
      <c r="E485" s="304"/>
      <c r="F485" s="8"/>
      <c r="G485" s="227"/>
    </row>
    <row r="486" ht="15.75" customHeight="1">
      <c r="A486" s="56"/>
      <c r="B486" s="56"/>
      <c r="C486" s="56"/>
      <c r="D486" s="56"/>
      <c r="E486" s="304"/>
      <c r="F486" s="8"/>
      <c r="G486" s="227"/>
    </row>
    <row r="487" ht="15.75" customHeight="1">
      <c r="A487" s="56"/>
      <c r="B487" s="56"/>
      <c r="C487" s="56"/>
      <c r="D487" s="56"/>
      <c r="E487" s="304"/>
      <c r="F487" s="8"/>
      <c r="G487" s="227"/>
    </row>
    <row r="488" ht="15.75" customHeight="1">
      <c r="A488" s="56"/>
      <c r="B488" s="56"/>
      <c r="C488" s="56"/>
      <c r="D488" s="56"/>
      <c r="E488" s="304"/>
      <c r="F488" s="8"/>
      <c r="G488" s="227"/>
    </row>
    <row r="489" ht="15.75" customHeight="1">
      <c r="A489" s="56"/>
      <c r="B489" s="56"/>
      <c r="C489" s="56"/>
      <c r="D489" s="56"/>
      <c r="E489" s="304"/>
      <c r="F489" s="8"/>
      <c r="G489" s="227"/>
    </row>
    <row r="490" ht="15.75" customHeight="1">
      <c r="A490" s="56"/>
      <c r="B490" s="56"/>
      <c r="C490" s="56"/>
      <c r="D490" s="56"/>
      <c r="E490" s="304"/>
      <c r="F490" s="8"/>
      <c r="G490" s="227"/>
    </row>
    <row r="491" ht="15.75" customHeight="1">
      <c r="A491" s="56"/>
      <c r="B491" s="56"/>
      <c r="C491" s="56"/>
      <c r="D491" s="56"/>
      <c r="E491" s="304"/>
      <c r="F491" s="8"/>
      <c r="G491" s="227"/>
    </row>
    <row r="492" ht="15.75" customHeight="1">
      <c r="A492" s="56"/>
      <c r="B492" s="56"/>
      <c r="C492" s="56"/>
      <c r="D492" s="56"/>
      <c r="E492" s="304"/>
      <c r="F492" s="8"/>
      <c r="G492" s="227"/>
    </row>
    <row r="493" ht="15.75" customHeight="1">
      <c r="A493" s="56"/>
      <c r="B493" s="56"/>
      <c r="C493" s="56"/>
      <c r="D493" s="56"/>
      <c r="E493" s="304"/>
      <c r="F493" s="8"/>
      <c r="G493" s="227"/>
    </row>
    <row r="494" ht="15.75" customHeight="1">
      <c r="A494" s="56"/>
      <c r="B494" s="56"/>
      <c r="C494" s="56"/>
      <c r="D494" s="56"/>
      <c r="E494" s="304"/>
      <c r="F494" s="8"/>
      <c r="G494" s="227"/>
    </row>
    <row r="495" ht="15.75" customHeight="1">
      <c r="A495" s="56"/>
      <c r="B495" s="56"/>
      <c r="C495" s="56"/>
      <c r="D495" s="56"/>
      <c r="E495" s="304"/>
      <c r="F495" s="8"/>
      <c r="G495" s="227"/>
    </row>
    <row r="496" ht="15.75" customHeight="1">
      <c r="A496" s="56"/>
      <c r="B496" s="56"/>
      <c r="C496" s="56"/>
      <c r="D496" s="56"/>
      <c r="E496" s="304"/>
      <c r="F496" s="8"/>
      <c r="G496" s="227"/>
    </row>
    <row r="497" ht="15.75" customHeight="1">
      <c r="A497" s="56"/>
      <c r="B497" s="56"/>
      <c r="C497" s="56"/>
      <c r="D497" s="56"/>
      <c r="E497" s="304"/>
      <c r="F497" s="8"/>
      <c r="G497" s="227"/>
    </row>
    <row r="498" ht="15.75" customHeight="1">
      <c r="A498" s="56"/>
      <c r="B498" s="56"/>
      <c r="C498" s="56"/>
      <c r="D498" s="56"/>
      <c r="E498" s="304"/>
      <c r="F498" s="8"/>
      <c r="G498" s="227"/>
    </row>
    <row r="499" ht="15.75" customHeight="1">
      <c r="A499" s="56"/>
      <c r="B499" s="56"/>
      <c r="C499" s="56"/>
      <c r="D499" s="56"/>
      <c r="E499" s="304"/>
      <c r="F499" s="8"/>
      <c r="G499" s="227"/>
    </row>
    <row r="500" ht="15.75" customHeight="1">
      <c r="A500" s="56"/>
      <c r="B500" s="56"/>
      <c r="C500" s="56"/>
      <c r="D500" s="56"/>
      <c r="E500" s="304"/>
      <c r="F500" s="8"/>
      <c r="G500" s="227"/>
    </row>
    <row r="501" ht="15.75" customHeight="1">
      <c r="A501" s="56"/>
      <c r="B501" s="56"/>
      <c r="C501" s="56"/>
      <c r="D501" s="56"/>
      <c r="E501" s="304"/>
      <c r="F501" s="8"/>
      <c r="G501" s="227"/>
    </row>
    <row r="502" ht="15.75" customHeight="1">
      <c r="A502" s="56"/>
      <c r="B502" s="56"/>
      <c r="C502" s="56"/>
      <c r="D502" s="56"/>
      <c r="E502" s="304"/>
      <c r="F502" s="8"/>
      <c r="G502" s="227"/>
    </row>
    <row r="503" ht="15.75" customHeight="1">
      <c r="A503" s="56"/>
      <c r="B503" s="56"/>
      <c r="C503" s="56"/>
      <c r="D503" s="56"/>
      <c r="E503" s="304"/>
      <c r="F503" s="8"/>
      <c r="G503" s="227"/>
    </row>
    <row r="504" ht="15.75" customHeight="1">
      <c r="A504" s="56"/>
      <c r="B504" s="56"/>
      <c r="C504" s="56"/>
      <c r="D504" s="56"/>
      <c r="E504" s="304"/>
      <c r="F504" s="8"/>
      <c r="G504" s="227"/>
    </row>
    <row r="505" ht="15.75" customHeight="1">
      <c r="A505" s="56"/>
      <c r="B505" s="56"/>
      <c r="C505" s="56"/>
      <c r="D505" s="56"/>
      <c r="E505" s="304"/>
      <c r="F505" s="8"/>
      <c r="G505" s="227"/>
    </row>
    <row r="506" ht="15.75" customHeight="1">
      <c r="A506" s="56"/>
      <c r="B506" s="56"/>
      <c r="C506" s="56"/>
      <c r="D506" s="56"/>
      <c r="E506" s="304"/>
      <c r="F506" s="8"/>
      <c r="G506" s="227"/>
    </row>
    <row r="507" ht="15.75" customHeight="1">
      <c r="A507" s="56"/>
      <c r="B507" s="56"/>
      <c r="C507" s="56"/>
      <c r="D507" s="56"/>
      <c r="E507" s="304"/>
      <c r="F507" s="8"/>
      <c r="G507" s="227"/>
    </row>
    <row r="508" ht="15.75" customHeight="1">
      <c r="A508" s="56"/>
      <c r="B508" s="56"/>
      <c r="C508" s="56"/>
      <c r="D508" s="56"/>
      <c r="E508" s="304"/>
      <c r="F508" s="8"/>
      <c r="G508" s="227"/>
    </row>
    <row r="509" ht="15.75" customHeight="1">
      <c r="A509" s="56"/>
      <c r="B509" s="56"/>
      <c r="C509" s="56"/>
      <c r="D509" s="56"/>
      <c r="E509" s="304"/>
      <c r="F509" s="8"/>
      <c r="G509" s="227"/>
    </row>
    <row r="510" ht="15.75" customHeight="1">
      <c r="A510" s="56"/>
      <c r="B510" s="56"/>
      <c r="C510" s="56"/>
      <c r="D510" s="56"/>
      <c r="E510" s="304"/>
      <c r="F510" s="8"/>
      <c r="G510" s="227"/>
    </row>
    <row r="511" ht="15.75" customHeight="1">
      <c r="A511" s="56"/>
      <c r="B511" s="56"/>
      <c r="C511" s="56"/>
      <c r="D511" s="56"/>
      <c r="E511" s="304"/>
      <c r="F511" s="8"/>
      <c r="G511" s="227"/>
    </row>
    <row r="512" ht="15.75" customHeight="1">
      <c r="A512" s="56"/>
      <c r="B512" s="56"/>
      <c r="C512" s="56"/>
      <c r="D512" s="56"/>
      <c r="E512" s="304"/>
      <c r="F512" s="8"/>
      <c r="G512" s="227"/>
    </row>
    <row r="513" ht="15.75" customHeight="1">
      <c r="A513" s="56"/>
      <c r="B513" s="56"/>
      <c r="C513" s="56"/>
      <c r="D513" s="56"/>
      <c r="E513" s="304"/>
      <c r="F513" s="8"/>
      <c r="G513" s="227"/>
    </row>
    <row r="514" ht="15.75" customHeight="1">
      <c r="A514" s="56"/>
      <c r="B514" s="56"/>
      <c r="C514" s="56"/>
      <c r="D514" s="56"/>
      <c r="E514" s="304"/>
      <c r="F514" s="8"/>
      <c r="G514" s="227"/>
    </row>
    <row r="515" ht="15.75" customHeight="1">
      <c r="A515" s="56"/>
      <c r="B515" s="56"/>
      <c r="C515" s="56"/>
      <c r="D515" s="56"/>
      <c r="E515" s="304"/>
      <c r="F515" s="8"/>
      <c r="G515" s="227"/>
    </row>
    <row r="516" ht="15.75" customHeight="1">
      <c r="A516" s="56"/>
      <c r="B516" s="56"/>
      <c r="C516" s="56"/>
      <c r="D516" s="56"/>
      <c r="E516" s="304"/>
      <c r="F516" s="8"/>
      <c r="G516" s="227"/>
    </row>
    <row r="517" ht="15.75" customHeight="1">
      <c r="A517" s="56"/>
      <c r="B517" s="56"/>
      <c r="C517" s="56"/>
      <c r="D517" s="56"/>
      <c r="E517" s="304"/>
      <c r="F517" s="8"/>
      <c r="G517" s="227"/>
    </row>
    <row r="518" ht="15.75" customHeight="1">
      <c r="A518" s="56"/>
      <c r="B518" s="56"/>
      <c r="C518" s="56"/>
      <c r="D518" s="56"/>
      <c r="E518" s="304"/>
      <c r="F518" s="8"/>
      <c r="G518" s="227"/>
    </row>
    <row r="519" ht="15.75" customHeight="1">
      <c r="A519" s="56"/>
      <c r="B519" s="56"/>
      <c r="C519" s="56"/>
      <c r="D519" s="56"/>
      <c r="E519" s="304"/>
      <c r="F519" s="8"/>
      <c r="G519" s="227"/>
    </row>
    <row r="520" ht="15.75" customHeight="1">
      <c r="A520" s="56"/>
      <c r="B520" s="56"/>
      <c r="C520" s="56"/>
      <c r="D520" s="56"/>
      <c r="E520" s="304"/>
      <c r="F520" s="8"/>
      <c r="G520" s="227"/>
    </row>
    <row r="521" ht="15.75" customHeight="1">
      <c r="A521" s="56"/>
      <c r="B521" s="56"/>
      <c r="C521" s="56"/>
      <c r="D521" s="56"/>
      <c r="E521" s="304"/>
      <c r="F521" s="8"/>
      <c r="G521" s="227"/>
    </row>
    <row r="522" ht="15.75" customHeight="1">
      <c r="A522" s="56"/>
      <c r="B522" s="56"/>
      <c r="C522" s="56"/>
      <c r="D522" s="56"/>
      <c r="E522" s="304"/>
      <c r="F522" s="8"/>
      <c r="G522" s="227"/>
    </row>
    <row r="523" ht="15.75" customHeight="1">
      <c r="A523" s="56"/>
      <c r="B523" s="56"/>
      <c r="C523" s="56"/>
      <c r="D523" s="56"/>
      <c r="E523" s="304"/>
      <c r="F523" s="8"/>
      <c r="G523" s="227"/>
    </row>
    <row r="524" ht="15.75" customHeight="1">
      <c r="A524" s="56"/>
      <c r="B524" s="56"/>
      <c r="C524" s="56"/>
      <c r="D524" s="56"/>
      <c r="E524" s="304"/>
      <c r="F524" s="8"/>
      <c r="G524" s="227"/>
    </row>
    <row r="525" ht="15.75" customHeight="1">
      <c r="A525" s="56"/>
      <c r="B525" s="56"/>
      <c r="C525" s="56"/>
      <c r="D525" s="56"/>
      <c r="E525" s="304"/>
      <c r="F525" s="8"/>
      <c r="G525" s="227"/>
    </row>
    <row r="526" ht="15.75" customHeight="1">
      <c r="A526" s="56"/>
      <c r="B526" s="56"/>
      <c r="C526" s="56"/>
      <c r="D526" s="56"/>
      <c r="E526" s="304"/>
      <c r="F526" s="8"/>
      <c r="G526" s="227"/>
    </row>
    <row r="527" ht="15.75" customHeight="1">
      <c r="A527" s="56"/>
      <c r="B527" s="56"/>
      <c r="C527" s="56"/>
      <c r="D527" s="56"/>
      <c r="E527" s="304"/>
      <c r="F527" s="8"/>
      <c r="G527" s="227"/>
    </row>
    <row r="528" ht="15.75" customHeight="1">
      <c r="A528" s="56"/>
      <c r="B528" s="56"/>
      <c r="C528" s="56"/>
      <c r="D528" s="56"/>
      <c r="E528" s="304"/>
      <c r="F528" s="8"/>
      <c r="G528" s="227"/>
    </row>
    <row r="529" ht="15.75" customHeight="1">
      <c r="A529" s="56"/>
      <c r="B529" s="56"/>
      <c r="C529" s="56"/>
      <c r="D529" s="56"/>
      <c r="E529" s="304"/>
      <c r="F529" s="8"/>
      <c r="G529" s="227"/>
    </row>
    <row r="530" ht="15.75" customHeight="1">
      <c r="A530" s="56"/>
      <c r="B530" s="56"/>
      <c r="C530" s="56"/>
      <c r="D530" s="56"/>
      <c r="E530" s="304"/>
      <c r="F530" s="8"/>
      <c r="G530" s="227"/>
    </row>
    <row r="531" ht="15.75" customHeight="1">
      <c r="A531" s="56"/>
      <c r="B531" s="56"/>
      <c r="C531" s="56"/>
      <c r="D531" s="56"/>
      <c r="E531" s="304"/>
      <c r="F531" s="8"/>
      <c r="G531" s="227"/>
    </row>
    <row r="532" ht="15.75" customHeight="1">
      <c r="A532" s="56"/>
      <c r="B532" s="56"/>
      <c r="C532" s="56"/>
      <c r="D532" s="56"/>
      <c r="E532" s="304"/>
      <c r="F532" s="8"/>
      <c r="G532" s="227"/>
    </row>
    <row r="533" ht="15.75" customHeight="1">
      <c r="A533" s="56"/>
      <c r="B533" s="56"/>
      <c r="C533" s="56"/>
      <c r="D533" s="56"/>
      <c r="E533" s="304"/>
      <c r="F533" s="8"/>
      <c r="G533" s="227"/>
    </row>
    <row r="534" ht="15.75" customHeight="1">
      <c r="A534" s="56"/>
      <c r="B534" s="56"/>
      <c r="C534" s="56"/>
      <c r="D534" s="56"/>
      <c r="E534" s="304"/>
      <c r="F534" s="8"/>
      <c r="G534" s="227"/>
    </row>
    <row r="535" ht="15.75" customHeight="1">
      <c r="A535" s="56"/>
      <c r="B535" s="56"/>
      <c r="C535" s="56"/>
      <c r="D535" s="56"/>
      <c r="E535" s="304"/>
      <c r="F535" s="8"/>
      <c r="G535" s="227"/>
    </row>
    <row r="536" ht="15.75" customHeight="1">
      <c r="A536" s="56"/>
      <c r="B536" s="56"/>
      <c r="C536" s="56"/>
      <c r="D536" s="56"/>
      <c r="E536" s="304"/>
      <c r="F536" s="8"/>
      <c r="G536" s="227"/>
    </row>
    <row r="537" ht="15.75" customHeight="1">
      <c r="A537" s="56"/>
      <c r="B537" s="56"/>
      <c r="C537" s="56"/>
      <c r="D537" s="56"/>
      <c r="E537" s="304"/>
      <c r="F537" s="8"/>
      <c r="G537" s="227"/>
    </row>
    <row r="538" ht="15.75" customHeight="1">
      <c r="A538" s="56"/>
      <c r="B538" s="56"/>
      <c r="C538" s="56"/>
      <c r="D538" s="56"/>
      <c r="E538" s="304"/>
      <c r="F538" s="8"/>
      <c r="G538" s="227"/>
    </row>
    <row r="539" ht="15.75" customHeight="1">
      <c r="A539" s="56"/>
      <c r="B539" s="56"/>
      <c r="C539" s="56"/>
      <c r="D539" s="56"/>
      <c r="E539" s="304"/>
      <c r="F539" s="8"/>
      <c r="G539" s="227"/>
    </row>
    <row r="540" ht="15.75" customHeight="1">
      <c r="A540" s="56"/>
      <c r="B540" s="56"/>
      <c r="C540" s="56"/>
      <c r="D540" s="56"/>
      <c r="E540" s="304"/>
      <c r="F540" s="8"/>
      <c r="G540" s="227"/>
    </row>
    <row r="541" ht="15.75" customHeight="1">
      <c r="A541" s="56"/>
      <c r="B541" s="56"/>
      <c r="C541" s="56"/>
      <c r="D541" s="56"/>
      <c r="E541" s="304"/>
      <c r="F541" s="8"/>
      <c r="G541" s="227"/>
    </row>
    <row r="542" ht="15.75" customHeight="1">
      <c r="A542" s="56"/>
      <c r="B542" s="56"/>
      <c r="C542" s="56"/>
      <c r="D542" s="56"/>
      <c r="E542" s="304"/>
      <c r="F542" s="8"/>
      <c r="G542" s="227"/>
    </row>
    <row r="543" ht="15.75" customHeight="1">
      <c r="A543" s="56"/>
      <c r="B543" s="56"/>
      <c r="C543" s="56"/>
      <c r="D543" s="56"/>
      <c r="E543" s="304"/>
      <c r="F543" s="8"/>
      <c r="G543" s="227"/>
    </row>
    <row r="544" ht="15.75" customHeight="1">
      <c r="A544" s="56"/>
      <c r="B544" s="56"/>
      <c r="C544" s="56"/>
      <c r="D544" s="56"/>
      <c r="E544" s="304"/>
      <c r="F544" s="8"/>
      <c r="G544" s="227"/>
    </row>
    <row r="545" ht="15.75" customHeight="1">
      <c r="A545" s="56"/>
      <c r="B545" s="56"/>
      <c r="C545" s="56"/>
      <c r="D545" s="56"/>
      <c r="E545" s="304"/>
      <c r="F545" s="8"/>
      <c r="G545" s="227"/>
    </row>
    <row r="546" ht="15.75" customHeight="1">
      <c r="A546" s="56"/>
      <c r="B546" s="56"/>
      <c r="C546" s="56"/>
      <c r="D546" s="56"/>
      <c r="E546" s="304"/>
      <c r="F546" s="8"/>
      <c r="G546" s="227"/>
    </row>
    <row r="547" ht="15.75" customHeight="1">
      <c r="A547" s="56"/>
      <c r="B547" s="56"/>
      <c r="C547" s="56"/>
      <c r="D547" s="56"/>
      <c r="E547" s="304"/>
      <c r="F547" s="8"/>
      <c r="G547" s="227"/>
    </row>
    <row r="548" ht="15.75" customHeight="1">
      <c r="A548" s="56"/>
      <c r="B548" s="56"/>
      <c r="C548" s="56"/>
      <c r="D548" s="56"/>
      <c r="E548" s="304"/>
      <c r="F548" s="8"/>
      <c r="G548" s="227"/>
    </row>
    <row r="549" ht="15.75" customHeight="1">
      <c r="A549" s="56"/>
      <c r="B549" s="56"/>
      <c r="C549" s="56"/>
      <c r="D549" s="56"/>
      <c r="E549" s="304"/>
      <c r="F549" s="8"/>
      <c r="G549" s="227"/>
    </row>
    <row r="550" ht="15.75" customHeight="1">
      <c r="A550" s="56"/>
      <c r="B550" s="56"/>
      <c r="C550" s="56"/>
      <c r="D550" s="56"/>
      <c r="E550" s="304"/>
      <c r="F550" s="8"/>
      <c r="G550" s="227"/>
    </row>
    <row r="551" ht="15.75" customHeight="1">
      <c r="A551" s="56"/>
      <c r="B551" s="56"/>
      <c r="C551" s="56"/>
      <c r="D551" s="56"/>
      <c r="E551" s="304"/>
      <c r="F551" s="8"/>
      <c r="G551" s="227"/>
    </row>
    <row r="552" ht="15.75" customHeight="1">
      <c r="A552" s="56"/>
      <c r="B552" s="56"/>
      <c r="C552" s="56"/>
      <c r="D552" s="56"/>
      <c r="E552" s="304"/>
      <c r="F552" s="8"/>
      <c r="G552" s="227"/>
    </row>
    <row r="553" ht="15.75" customHeight="1">
      <c r="A553" s="56"/>
      <c r="B553" s="56"/>
      <c r="C553" s="56"/>
      <c r="D553" s="56"/>
      <c r="E553" s="304"/>
      <c r="F553" s="8"/>
      <c r="G553" s="227"/>
    </row>
    <row r="554" ht="15.75" customHeight="1">
      <c r="A554" s="56"/>
      <c r="B554" s="56"/>
      <c r="C554" s="56"/>
      <c r="D554" s="56"/>
      <c r="E554" s="304"/>
      <c r="F554" s="8"/>
      <c r="G554" s="227"/>
    </row>
    <row r="555" ht="15.75" customHeight="1">
      <c r="A555" s="56"/>
      <c r="B555" s="56"/>
      <c r="C555" s="56"/>
      <c r="D555" s="56"/>
      <c r="E555" s="304"/>
      <c r="F555" s="8"/>
      <c r="G555" s="227"/>
    </row>
    <row r="556" ht="15.75" customHeight="1">
      <c r="A556" s="56"/>
      <c r="B556" s="56"/>
      <c r="C556" s="56"/>
      <c r="D556" s="56"/>
      <c r="E556" s="304"/>
      <c r="F556" s="8"/>
      <c r="G556" s="227"/>
    </row>
    <row r="557" ht="15.75" customHeight="1">
      <c r="A557" s="56"/>
      <c r="B557" s="56"/>
      <c r="C557" s="56"/>
      <c r="D557" s="56"/>
      <c r="E557" s="304"/>
      <c r="F557" s="8"/>
      <c r="G557" s="227"/>
    </row>
    <row r="558" ht="15.75" customHeight="1">
      <c r="A558" s="56"/>
      <c r="B558" s="56"/>
      <c r="C558" s="56"/>
      <c r="D558" s="56"/>
      <c r="E558" s="304"/>
      <c r="F558" s="8"/>
      <c r="G558" s="227"/>
    </row>
    <row r="559" ht="15.75" customHeight="1">
      <c r="A559" s="56"/>
      <c r="B559" s="56"/>
      <c r="C559" s="56"/>
      <c r="D559" s="56"/>
      <c r="E559" s="304"/>
      <c r="F559" s="8"/>
      <c r="G559" s="227"/>
    </row>
    <row r="560" ht="15.75" customHeight="1">
      <c r="A560" s="56"/>
      <c r="B560" s="56"/>
      <c r="C560" s="56"/>
      <c r="D560" s="56"/>
      <c r="E560" s="304"/>
      <c r="F560" s="8"/>
      <c r="G560" s="227"/>
    </row>
    <row r="561" ht="15.75" customHeight="1">
      <c r="A561" s="56"/>
      <c r="B561" s="56"/>
      <c r="C561" s="56"/>
      <c r="D561" s="56"/>
      <c r="E561" s="304"/>
      <c r="F561" s="8"/>
      <c r="G561" s="227"/>
    </row>
    <row r="562" ht="15.75" customHeight="1">
      <c r="A562" s="56"/>
      <c r="B562" s="56"/>
      <c r="C562" s="56"/>
      <c r="D562" s="56"/>
      <c r="E562" s="304"/>
      <c r="F562" s="8"/>
      <c r="G562" s="227"/>
    </row>
    <row r="563" ht="15.75" customHeight="1">
      <c r="A563" s="56"/>
      <c r="B563" s="56"/>
      <c r="C563" s="56"/>
      <c r="D563" s="56"/>
      <c r="E563" s="304"/>
      <c r="F563" s="8"/>
      <c r="G563" s="227"/>
    </row>
    <row r="564" ht="15.75" customHeight="1">
      <c r="A564" s="56"/>
      <c r="B564" s="56"/>
      <c r="C564" s="56"/>
      <c r="D564" s="56"/>
      <c r="E564" s="304"/>
      <c r="F564" s="8"/>
      <c r="G564" s="227"/>
    </row>
    <row r="565" ht="15.75" customHeight="1">
      <c r="A565" s="56"/>
      <c r="B565" s="56"/>
      <c r="C565" s="56"/>
      <c r="D565" s="56"/>
      <c r="E565" s="304"/>
      <c r="F565" s="8"/>
      <c r="G565" s="227"/>
    </row>
    <row r="566" ht="15.75" customHeight="1">
      <c r="A566" s="56"/>
      <c r="B566" s="56"/>
      <c r="C566" s="56"/>
      <c r="D566" s="56"/>
      <c r="E566" s="304"/>
      <c r="F566" s="8"/>
      <c r="G566" s="227"/>
    </row>
    <row r="567" ht="15.75" customHeight="1">
      <c r="A567" s="56"/>
      <c r="B567" s="56"/>
      <c r="C567" s="56"/>
      <c r="D567" s="56"/>
      <c r="E567" s="304"/>
      <c r="F567" s="8"/>
      <c r="G567" s="227"/>
    </row>
    <row r="568" ht="15.75" customHeight="1">
      <c r="A568" s="56"/>
      <c r="B568" s="56"/>
      <c r="C568" s="56"/>
      <c r="D568" s="56"/>
      <c r="E568" s="304"/>
      <c r="F568" s="8"/>
      <c r="G568" s="227"/>
    </row>
    <row r="569" ht="15.75" customHeight="1">
      <c r="A569" s="56"/>
      <c r="B569" s="56"/>
      <c r="C569" s="56"/>
      <c r="D569" s="56"/>
      <c r="E569" s="304"/>
      <c r="F569" s="8"/>
      <c r="G569" s="227"/>
    </row>
    <row r="570" ht="15.75" customHeight="1">
      <c r="A570" s="56"/>
      <c r="B570" s="56"/>
      <c r="C570" s="56"/>
      <c r="D570" s="56"/>
      <c r="E570" s="304"/>
      <c r="F570" s="8"/>
      <c r="G570" s="227"/>
    </row>
    <row r="571" ht="15.75" customHeight="1">
      <c r="A571" s="56"/>
      <c r="B571" s="56"/>
      <c r="C571" s="56"/>
      <c r="D571" s="56"/>
      <c r="E571" s="304"/>
      <c r="F571" s="8"/>
      <c r="G571" s="227"/>
    </row>
    <row r="572" ht="15.75" customHeight="1">
      <c r="A572" s="56"/>
      <c r="B572" s="56"/>
      <c r="C572" s="56"/>
      <c r="D572" s="56"/>
      <c r="E572" s="304"/>
      <c r="F572" s="8"/>
      <c r="G572" s="227"/>
    </row>
    <row r="573" ht="15.75" customHeight="1">
      <c r="A573" s="56"/>
      <c r="B573" s="56"/>
      <c r="C573" s="56"/>
      <c r="D573" s="56"/>
      <c r="E573" s="304"/>
      <c r="F573" s="8"/>
      <c r="G573" s="227"/>
    </row>
    <row r="574" ht="15.75" customHeight="1">
      <c r="A574" s="56"/>
      <c r="B574" s="56"/>
      <c r="C574" s="56"/>
      <c r="D574" s="56"/>
      <c r="E574" s="304"/>
      <c r="F574" s="8"/>
      <c r="G574" s="227"/>
    </row>
    <row r="575" ht="15.75" customHeight="1">
      <c r="A575" s="56"/>
      <c r="B575" s="56"/>
      <c r="C575" s="56"/>
      <c r="D575" s="56"/>
      <c r="E575" s="304"/>
      <c r="F575" s="8"/>
      <c r="G575" s="227"/>
    </row>
    <row r="576" ht="15.75" customHeight="1">
      <c r="A576" s="56"/>
      <c r="B576" s="56"/>
      <c r="C576" s="56"/>
      <c r="D576" s="56"/>
      <c r="E576" s="304"/>
      <c r="F576" s="8"/>
      <c r="G576" s="227"/>
    </row>
    <row r="577" ht="15.75" customHeight="1">
      <c r="A577" s="56"/>
      <c r="B577" s="56"/>
      <c r="C577" s="56"/>
      <c r="D577" s="56"/>
      <c r="E577" s="304"/>
      <c r="F577" s="8"/>
      <c r="G577" s="227"/>
    </row>
    <row r="578" ht="15.75" customHeight="1">
      <c r="A578" s="56"/>
      <c r="B578" s="56"/>
      <c r="C578" s="56"/>
      <c r="D578" s="56"/>
      <c r="E578" s="304"/>
      <c r="F578" s="8"/>
      <c r="G578" s="227"/>
    </row>
    <row r="579" ht="15.75" customHeight="1">
      <c r="A579" s="56"/>
      <c r="B579" s="56"/>
      <c r="C579" s="56"/>
      <c r="D579" s="56"/>
      <c r="E579" s="304"/>
      <c r="F579" s="8"/>
      <c r="G579" s="227"/>
    </row>
    <row r="580" ht="15.75" customHeight="1">
      <c r="A580" s="56"/>
      <c r="B580" s="56"/>
      <c r="C580" s="56"/>
      <c r="D580" s="56"/>
      <c r="E580" s="304"/>
      <c r="F580" s="8"/>
      <c r="G580" s="227"/>
    </row>
    <row r="581" ht="15.75" customHeight="1">
      <c r="A581" s="56"/>
      <c r="B581" s="56"/>
      <c r="C581" s="56"/>
      <c r="D581" s="56"/>
      <c r="E581" s="304"/>
      <c r="F581" s="8"/>
      <c r="G581" s="227"/>
    </row>
    <row r="582" ht="15.75" customHeight="1">
      <c r="A582" s="56"/>
      <c r="B582" s="56"/>
      <c r="C582" s="56"/>
      <c r="D582" s="56"/>
      <c r="E582" s="304"/>
      <c r="F582" s="8"/>
      <c r="G582" s="227"/>
    </row>
    <row r="583" ht="15.75" customHeight="1">
      <c r="A583" s="56"/>
      <c r="B583" s="56"/>
      <c r="C583" s="56"/>
      <c r="D583" s="56"/>
      <c r="E583" s="304"/>
      <c r="F583" s="8"/>
      <c r="G583" s="227"/>
    </row>
    <row r="584" ht="15.75" customHeight="1">
      <c r="A584" s="56"/>
      <c r="B584" s="56"/>
      <c r="C584" s="56"/>
      <c r="D584" s="56"/>
      <c r="E584" s="304"/>
      <c r="F584" s="8"/>
      <c r="G584" s="227"/>
    </row>
    <row r="585" ht="15.75" customHeight="1">
      <c r="A585" s="56"/>
      <c r="B585" s="56"/>
      <c r="C585" s="56"/>
      <c r="D585" s="56"/>
      <c r="E585" s="304"/>
      <c r="F585" s="8"/>
      <c r="G585" s="227"/>
    </row>
    <row r="586" ht="15.75" customHeight="1">
      <c r="A586" s="56"/>
      <c r="B586" s="56"/>
      <c r="C586" s="56"/>
      <c r="D586" s="56"/>
      <c r="E586" s="304"/>
      <c r="F586" s="8"/>
      <c r="G586" s="227"/>
    </row>
    <row r="587" ht="15.75" customHeight="1">
      <c r="A587" s="56"/>
      <c r="B587" s="56"/>
      <c r="C587" s="56"/>
      <c r="D587" s="56"/>
      <c r="E587" s="304"/>
      <c r="F587" s="8"/>
      <c r="G587" s="227"/>
    </row>
    <row r="588" ht="15.75" customHeight="1">
      <c r="A588" s="56"/>
      <c r="B588" s="56"/>
      <c r="C588" s="56"/>
      <c r="D588" s="56"/>
      <c r="E588" s="304"/>
      <c r="F588" s="8"/>
      <c r="G588" s="227"/>
    </row>
    <row r="589" ht="15.75" customHeight="1">
      <c r="A589" s="56"/>
      <c r="B589" s="56"/>
      <c r="C589" s="56"/>
      <c r="D589" s="56"/>
      <c r="E589" s="304"/>
      <c r="F589" s="8"/>
      <c r="G589" s="227"/>
    </row>
    <row r="590" ht="15.75" customHeight="1">
      <c r="A590" s="56"/>
      <c r="B590" s="56"/>
      <c r="C590" s="56"/>
      <c r="D590" s="56"/>
      <c r="E590" s="304"/>
      <c r="F590" s="8"/>
      <c r="G590" s="227"/>
    </row>
    <row r="591" ht="15.75" customHeight="1">
      <c r="A591" s="56"/>
      <c r="B591" s="56"/>
      <c r="C591" s="56"/>
      <c r="D591" s="56"/>
      <c r="E591" s="304"/>
      <c r="F591" s="8"/>
      <c r="G591" s="227"/>
    </row>
    <row r="592" ht="15.75" customHeight="1">
      <c r="A592" s="56"/>
      <c r="B592" s="56"/>
      <c r="C592" s="56"/>
      <c r="D592" s="56"/>
      <c r="E592" s="304"/>
      <c r="F592" s="8"/>
      <c r="G592" s="227"/>
    </row>
    <row r="593" ht="15.75" customHeight="1">
      <c r="A593" s="56"/>
      <c r="B593" s="56"/>
      <c r="C593" s="56"/>
      <c r="D593" s="56"/>
      <c r="E593" s="304"/>
      <c r="F593" s="8"/>
      <c r="G593" s="227"/>
    </row>
    <row r="594" ht="15.75" customHeight="1">
      <c r="A594" s="56"/>
      <c r="B594" s="56"/>
      <c r="C594" s="56"/>
      <c r="D594" s="56"/>
      <c r="E594" s="304"/>
      <c r="F594" s="8"/>
      <c r="G594" s="227"/>
    </row>
    <row r="595" ht="15.75" customHeight="1">
      <c r="A595" s="56"/>
      <c r="B595" s="56"/>
      <c r="C595" s="56"/>
      <c r="D595" s="56"/>
      <c r="E595" s="304"/>
      <c r="F595" s="8"/>
      <c r="G595" s="227"/>
    </row>
    <row r="596" ht="15.75" customHeight="1">
      <c r="A596" s="56"/>
      <c r="B596" s="56"/>
      <c r="C596" s="56"/>
      <c r="D596" s="56"/>
      <c r="E596" s="304"/>
      <c r="F596" s="8"/>
      <c r="G596" s="227"/>
    </row>
    <row r="597" ht="15.75" customHeight="1">
      <c r="A597" s="56"/>
      <c r="B597" s="56"/>
      <c r="C597" s="56"/>
      <c r="D597" s="56"/>
      <c r="E597" s="304"/>
      <c r="F597" s="8"/>
      <c r="G597" s="227"/>
    </row>
    <row r="598" ht="15.75" customHeight="1">
      <c r="A598" s="56"/>
      <c r="B598" s="56"/>
      <c r="C598" s="56"/>
      <c r="D598" s="56"/>
      <c r="E598" s="304"/>
      <c r="F598" s="8"/>
      <c r="G598" s="227"/>
    </row>
    <row r="599" ht="15.75" customHeight="1">
      <c r="A599" s="56"/>
      <c r="B599" s="56"/>
      <c r="C599" s="56"/>
      <c r="D599" s="56"/>
      <c r="E599" s="304"/>
      <c r="F599" s="8"/>
      <c r="G599" s="227"/>
    </row>
    <row r="600" ht="15.75" customHeight="1">
      <c r="A600" s="56"/>
      <c r="B600" s="56"/>
      <c r="C600" s="56"/>
      <c r="D600" s="56"/>
      <c r="E600" s="304"/>
      <c r="F600" s="8"/>
      <c r="G600" s="227"/>
    </row>
    <row r="601" ht="15.75" customHeight="1">
      <c r="A601" s="56"/>
      <c r="B601" s="56"/>
      <c r="C601" s="56"/>
      <c r="D601" s="56"/>
      <c r="E601" s="304"/>
      <c r="F601" s="8"/>
      <c r="G601" s="227"/>
    </row>
    <row r="602" ht="15.75" customHeight="1">
      <c r="A602" s="56"/>
      <c r="B602" s="56"/>
      <c r="C602" s="56"/>
      <c r="D602" s="56"/>
      <c r="E602" s="304"/>
      <c r="F602" s="8"/>
      <c r="G602" s="227"/>
    </row>
    <row r="603" ht="15.75" customHeight="1">
      <c r="A603" s="56"/>
      <c r="B603" s="56"/>
      <c r="C603" s="56"/>
      <c r="D603" s="56"/>
      <c r="E603" s="304"/>
      <c r="F603" s="8"/>
      <c r="G603" s="227"/>
    </row>
    <row r="604" ht="15.75" customHeight="1">
      <c r="A604" s="56"/>
      <c r="B604" s="56"/>
      <c r="C604" s="56"/>
      <c r="D604" s="56"/>
      <c r="E604" s="304"/>
      <c r="F604" s="8"/>
      <c r="G604" s="227"/>
    </row>
    <row r="605" ht="15.75" customHeight="1">
      <c r="A605" s="56"/>
      <c r="B605" s="56"/>
      <c r="C605" s="56"/>
      <c r="D605" s="56"/>
      <c r="E605" s="304"/>
      <c r="F605" s="8"/>
      <c r="G605" s="227"/>
    </row>
    <row r="606" ht="15.75" customHeight="1">
      <c r="A606" s="56"/>
      <c r="B606" s="56"/>
      <c r="C606" s="56"/>
      <c r="D606" s="56"/>
      <c r="E606" s="304"/>
      <c r="F606" s="8"/>
      <c r="G606" s="227"/>
    </row>
    <row r="607" ht="15.75" customHeight="1">
      <c r="A607" s="56"/>
      <c r="B607" s="56"/>
      <c r="C607" s="56"/>
      <c r="D607" s="56"/>
      <c r="E607" s="304"/>
      <c r="F607" s="8"/>
      <c r="G607" s="227"/>
    </row>
    <row r="608" ht="15.75" customHeight="1">
      <c r="A608" s="56"/>
      <c r="B608" s="56"/>
      <c r="C608" s="56"/>
      <c r="D608" s="56"/>
      <c r="E608" s="304"/>
      <c r="F608" s="8"/>
      <c r="G608" s="227"/>
    </row>
    <row r="609" ht="15.75" customHeight="1">
      <c r="A609" s="56"/>
      <c r="B609" s="56"/>
      <c r="C609" s="56"/>
      <c r="D609" s="56"/>
      <c r="E609" s="304"/>
      <c r="F609" s="8"/>
      <c r="G609" s="227"/>
    </row>
    <row r="610" ht="15.75" customHeight="1">
      <c r="A610" s="56"/>
      <c r="B610" s="56"/>
      <c r="C610" s="56"/>
      <c r="D610" s="56"/>
      <c r="E610" s="304"/>
      <c r="F610" s="8"/>
      <c r="G610" s="227"/>
    </row>
    <row r="611" ht="15.75" customHeight="1">
      <c r="A611" s="56"/>
      <c r="B611" s="56"/>
      <c r="C611" s="56"/>
      <c r="D611" s="56"/>
      <c r="E611" s="304"/>
      <c r="F611" s="8"/>
      <c r="G611" s="227"/>
    </row>
    <row r="612" ht="15.75" customHeight="1">
      <c r="A612" s="56"/>
      <c r="B612" s="56"/>
      <c r="C612" s="56"/>
      <c r="D612" s="56"/>
      <c r="E612" s="304"/>
      <c r="F612" s="8"/>
      <c r="G612" s="227"/>
    </row>
    <row r="613" ht="15.75" customHeight="1">
      <c r="A613" s="56"/>
      <c r="B613" s="56"/>
      <c r="C613" s="56"/>
      <c r="D613" s="56"/>
      <c r="E613" s="304"/>
      <c r="F613" s="8"/>
      <c r="G613" s="227"/>
    </row>
    <row r="614" ht="15.75" customHeight="1">
      <c r="A614" s="56"/>
      <c r="B614" s="56"/>
      <c r="C614" s="56"/>
      <c r="D614" s="56"/>
      <c r="E614" s="304"/>
      <c r="F614" s="8"/>
      <c r="G614" s="227"/>
    </row>
    <row r="615" ht="15.75" customHeight="1">
      <c r="A615" s="56"/>
      <c r="B615" s="56"/>
      <c r="C615" s="56"/>
      <c r="D615" s="56"/>
      <c r="E615" s="304"/>
      <c r="F615" s="8"/>
      <c r="G615" s="227"/>
    </row>
    <row r="616" ht="15.75" customHeight="1">
      <c r="A616" s="56"/>
      <c r="B616" s="56"/>
      <c r="C616" s="56"/>
      <c r="D616" s="56"/>
      <c r="E616" s="304"/>
      <c r="F616" s="8"/>
      <c r="G616" s="227"/>
    </row>
    <row r="617" ht="15.75" customHeight="1">
      <c r="A617" s="56"/>
      <c r="B617" s="56"/>
      <c r="C617" s="56"/>
      <c r="D617" s="56"/>
      <c r="E617" s="304"/>
      <c r="F617" s="8"/>
      <c r="G617" s="227"/>
    </row>
    <row r="618" ht="15.75" customHeight="1">
      <c r="A618" s="56"/>
      <c r="B618" s="56"/>
      <c r="C618" s="56"/>
      <c r="D618" s="56"/>
      <c r="E618" s="304"/>
      <c r="F618" s="8"/>
      <c r="G618" s="227"/>
    </row>
    <row r="619" ht="15.75" customHeight="1">
      <c r="A619" s="56"/>
      <c r="B619" s="56"/>
      <c r="C619" s="56"/>
      <c r="D619" s="56"/>
      <c r="E619" s="304"/>
      <c r="F619" s="8"/>
      <c r="G619" s="227"/>
    </row>
    <row r="620" ht="15.75" customHeight="1">
      <c r="A620" s="56"/>
      <c r="B620" s="56"/>
      <c r="C620" s="56"/>
      <c r="D620" s="56"/>
      <c r="E620" s="304"/>
      <c r="F620" s="8"/>
      <c r="G620" s="227"/>
    </row>
    <row r="621" ht="15.75" customHeight="1">
      <c r="A621" s="56"/>
      <c r="B621" s="56"/>
      <c r="C621" s="56"/>
      <c r="D621" s="56"/>
      <c r="E621" s="304"/>
      <c r="F621" s="8"/>
      <c r="G621" s="227"/>
    </row>
    <row r="622" ht="15.75" customHeight="1">
      <c r="A622" s="56"/>
      <c r="B622" s="56"/>
      <c r="C622" s="56"/>
      <c r="D622" s="56"/>
      <c r="E622" s="304"/>
      <c r="F622" s="8"/>
      <c r="G622" s="227"/>
    </row>
    <row r="623" ht="15.75" customHeight="1">
      <c r="A623" s="56"/>
      <c r="B623" s="56"/>
      <c r="C623" s="56"/>
      <c r="D623" s="56"/>
      <c r="E623" s="304"/>
      <c r="F623" s="8"/>
      <c r="G623" s="227"/>
    </row>
    <row r="624" ht="15.75" customHeight="1">
      <c r="A624" s="56"/>
      <c r="B624" s="56"/>
      <c r="C624" s="56"/>
      <c r="D624" s="56"/>
      <c r="E624" s="304"/>
      <c r="F624" s="8"/>
      <c r="G624" s="227"/>
    </row>
    <row r="625" ht="15.75" customHeight="1">
      <c r="A625" s="56"/>
      <c r="B625" s="56"/>
      <c r="C625" s="56"/>
      <c r="D625" s="56"/>
      <c r="E625" s="304"/>
      <c r="F625" s="8"/>
      <c r="G625" s="227"/>
    </row>
    <row r="626" ht="15.75" customHeight="1">
      <c r="A626" s="56"/>
      <c r="B626" s="56"/>
      <c r="C626" s="56"/>
      <c r="D626" s="56"/>
      <c r="E626" s="304"/>
      <c r="F626" s="8"/>
      <c r="G626" s="227"/>
    </row>
    <row r="627" ht="15.75" customHeight="1">
      <c r="A627" s="56"/>
      <c r="B627" s="56"/>
      <c r="C627" s="56"/>
      <c r="D627" s="56"/>
      <c r="E627" s="304"/>
      <c r="F627" s="8"/>
      <c r="G627" s="227"/>
    </row>
    <row r="628" ht="15.75" customHeight="1">
      <c r="A628" s="56"/>
      <c r="B628" s="56"/>
      <c r="C628" s="56"/>
      <c r="D628" s="56"/>
      <c r="E628" s="304"/>
      <c r="F628" s="8"/>
      <c r="G628" s="227"/>
    </row>
    <row r="629" ht="15.75" customHeight="1">
      <c r="A629" s="56"/>
      <c r="B629" s="56"/>
      <c r="C629" s="56"/>
      <c r="D629" s="56"/>
      <c r="E629" s="304"/>
      <c r="F629" s="8"/>
      <c r="G629" s="227"/>
    </row>
    <row r="630" ht="15.75" customHeight="1">
      <c r="A630" s="56"/>
      <c r="B630" s="56"/>
      <c r="C630" s="56"/>
      <c r="D630" s="56"/>
      <c r="E630" s="304"/>
      <c r="F630" s="8"/>
      <c r="G630" s="227"/>
    </row>
    <row r="631" ht="15.75" customHeight="1">
      <c r="A631" s="56"/>
      <c r="B631" s="56"/>
      <c r="C631" s="56"/>
      <c r="D631" s="56"/>
      <c r="E631" s="304"/>
      <c r="F631" s="8"/>
      <c r="G631" s="227"/>
    </row>
    <row r="632" ht="15.75" customHeight="1">
      <c r="A632" s="56"/>
      <c r="B632" s="56"/>
      <c r="C632" s="56"/>
      <c r="D632" s="56"/>
      <c r="E632" s="304"/>
      <c r="F632" s="8"/>
      <c r="G632" s="227"/>
    </row>
    <row r="633" ht="15.75" customHeight="1">
      <c r="A633" s="56"/>
      <c r="B633" s="56"/>
      <c r="C633" s="56"/>
      <c r="D633" s="56"/>
      <c r="E633" s="304"/>
      <c r="F633" s="8"/>
      <c r="G633" s="227"/>
    </row>
    <row r="634" ht="15.75" customHeight="1">
      <c r="A634" s="56"/>
      <c r="B634" s="56"/>
      <c r="C634" s="56"/>
      <c r="D634" s="56"/>
      <c r="E634" s="304"/>
      <c r="F634" s="8"/>
      <c r="G634" s="227"/>
    </row>
    <row r="635" ht="15.75" customHeight="1">
      <c r="A635" s="56"/>
      <c r="B635" s="56"/>
      <c r="C635" s="56"/>
      <c r="D635" s="56"/>
      <c r="E635" s="304"/>
      <c r="F635" s="8"/>
      <c r="G635" s="227"/>
    </row>
    <row r="636" ht="15.75" customHeight="1">
      <c r="A636" s="56"/>
      <c r="B636" s="56"/>
      <c r="C636" s="56"/>
      <c r="D636" s="56"/>
      <c r="E636" s="304"/>
      <c r="F636" s="8"/>
      <c r="G636" s="227"/>
    </row>
    <row r="637" ht="15.75" customHeight="1">
      <c r="A637" s="56"/>
      <c r="B637" s="56"/>
      <c r="C637" s="56"/>
      <c r="D637" s="56"/>
      <c r="E637" s="304"/>
      <c r="F637" s="8"/>
      <c r="G637" s="227"/>
    </row>
    <row r="638" ht="15.75" customHeight="1">
      <c r="A638" s="56"/>
      <c r="B638" s="56"/>
      <c r="C638" s="56"/>
      <c r="D638" s="56"/>
      <c r="E638" s="304"/>
      <c r="F638" s="8"/>
      <c r="G638" s="227"/>
    </row>
    <row r="639" ht="15.75" customHeight="1">
      <c r="A639" s="56"/>
      <c r="B639" s="56"/>
      <c r="C639" s="56"/>
      <c r="D639" s="56"/>
      <c r="E639" s="304"/>
      <c r="F639" s="8"/>
      <c r="G639" s="227"/>
    </row>
    <row r="640" ht="15.75" customHeight="1">
      <c r="A640" s="56"/>
      <c r="B640" s="56"/>
      <c r="C640" s="56"/>
      <c r="D640" s="56"/>
      <c r="E640" s="304"/>
      <c r="F640" s="8"/>
      <c r="G640" s="227"/>
    </row>
    <row r="641" ht="15.75" customHeight="1">
      <c r="A641" s="56"/>
      <c r="B641" s="56"/>
      <c r="C641" s="56"/>
      <c r="D641" s="56"/>
      <c r="E641" s="304"/>
      <c r="F641" s="8"/>
      <c r="G641" s="227"/>
    </row>
    <row r="642" ht="15.75" customHeight="1">
      <c r="A642" s="56"/>
      <c r="B642" s="56"/>
      <c r="C642" s="56"/>
      <c r="D642" s="56"/>
      <c r="E642" s="304"/>
      <c r="F642" s="8"/>
      <c r="G642" s="227"/>
    </row>
    <row r="643" ht="15.75" customHeight="1">
      <c r="A643" s="56"/>
      <c r="B643" s="56"/>
      <c r="C643" s="56"/>
      <c r="D643" s="56"/>
      <c r="E643" s="304"/>
      <c r="F643" s="8"/>
      <c r="G643" s="227"/>
    </row>
    <row r="644" ht="15.75" customHeight="1">
      <c r="A644" s="56"/>
      <c r="B644" s="56"/>
      <c r="C644" s="56"/>
      <c r="D644" s="56"/>
      <c r="E644" s="304"/>
      <c r="F644" s="8"/>
      <c r="G644" s="227"/>
    </row>
    <row r="645" ht="15.75" customHeight="1">
      <c r="A645" s="56"/>
      <c r="B645" s="56"/>
      <c r="C645" s="56"/>
      <c r="D645" s="56"/>
      <c r="E645" s="304"/>
      <c r="F645" s="8"/>
      <c r="G645" s="227"/>
    </row>
    <row r="646" ht="15.75" customHeight="1">
      <c r="A646" s="56"/>
      <c r="B646" s="56"/>
      <c r="C646" s="56"/>
      <c r="D646" s="56"/>
      <c r="E646" s="304"/>
      <c r="F646" s="8"/>
      <c r="G646" s="227"/>
    </row>
    <row r="647" ht="15.75" customHeight="1">
      <c r="A647" s="56"/>
      <c r="B647" s="56"/>
      <c r="C647" s="56"/>
      <c r="D647" s="56"/>
      <c r="E647" s="304"/>
      <c r="F647" s="8"/>
      <c r="G647" s="227"/>
    </row>
    <row r="648" ht="15.75" customHeight="1">
      <c r="A648" s="56"/>
      <c r="B648" s="56"/>
      <c r="C648" s="56"/>
      <c r="D648" s="56"/>
      <c r="E648" s="304"/>
      <c r="F648" s="8"/>
      <c r="G648" s="227"/>
    </row>
    <row r="649" ht="15.75" customHeight="1">
      <c r="A649" s="56"/>
      <c r="B649" s="56"/>
      <c r="C649" s="56"/>
      <c r="D649" s="56"/>
      <c r="E649" s="304"/>
      <c r="F649" s="8"/>
      <c r="G649" s="227"/>
    </row>
    <row r="650" ht="15.75" customHeight="1">
      <c r="A650" s="56"/>
      <c r="B650" s="56"/>
      <c r="C650" s="56"/>
      <c r="D650" s="56"/>
      <c r="E650" s="304"/>
      <c r="F650" s="8"/>
      <c r="G650" s="227"/>
    </row>
    <row r="651" ht="15.75" customHeight="1">
      <c r="A651" s="56"/>
      <c r="B651" s="56"/>
      <c r="C651" s="56"/>
      <c r="D651" s="56"/>
      <c r="E651" s="304"/>
      <c r="F651" s="8"/>
      <c r="G651" s="227"/>
    </row>
    <row r="652" ht="15.75" customHeight="1">
      <c r="A652" s="56"/>
      <c r="B652" s="56"/>
      <c r="C652" s="56"/>
      <c r="D652" s="56"/>
      <c r="E652" s="304"/>
      <c r="F652" s="8"/>
      <c r="G652" s="227"/>
    </row>
    <row r="653" ht="15.75" customHeight="1">
      <c r="A653" s="56"/>
      <c r="B653" s="56"/>
      <c r="C653" s="56"/>
      <c r="D653" s="56"/>
      <c r="E653" s="304"/>
      <c r="F653" s="8"/>
      <c r="G653" s="227"/>
    </row>
    <row r="654" ht="15.75" customHeight="1">
      <c r="A654" s="56"/>
      <c r="B654" s="56"/>
      <c r="C654" s="56"/>
      <c r="D654" s="56"/>
      <c r="E654" s="304"/>
      <c r="F654" s="8"/>
      <c r="G654" s="227"/>
    </row>
    <row r="655" ht="15.75" customHeight="1">
      <c r="A655" s="56"/>
      <c r="B655" s="56"/>
      <c r="C655" s="56"/>
      <c r="D655" s="56"/>
      <c r="E655" s="304"/>
      <c r="F655" s="8"/>
      <c r="G655" s="227"/>
    </row>
    <row r="656" ht="15.75" customHeight="1">
      <c r="A656" s="56"/>
      <c r="B656" s="56"/>
      <c r="C656" s="56"/>
      <c r="D656" s="56"/>
      <c r="E656" s="304"/>
      <c r="F656" s="8"/>
      <c r="G656" s="227"/>
    </row>
    <row r="657" ht="15.75" customHeight="1">
      <c r="A657" s="56"/>
      <c r="B657" s="56"/>
      <c r="C657" s="56"/>
      <c r="D657" s="56"/>
      <c r="E657" s="304"/>
      <c r="F657" s="8"/>
      <c r="G657" s="227"/>
    </row>
    <row r="658" ht="15.75" customHeight="1">
      <c r="A658" s="56"/>
      <c r="B658" s="56"/>
      <c r="C658" s="56"/>
      <c r="D658" s="56"/>
      <c r="E658" s="304"/>
      <c r="F658" s="8"/>
      <c r="G658" s="227"/>
    </row>
    <row r="659" ht="15.75" customHeight="1">
      <c r="A659" s="56"/>
      <c r="B659" s="56"/>
      <c r="C659" s="56"/>
      <c r="D659" s="56"/>
      <c r="E659" s="304"/>
      <c r="F659" s="8"/>
      <c r="G659" s="227"/>
    </row>
    <row r="660" ht="15.75" customHeight="1">
      <c r="A660" s="56"/>
      <c r="B660" s="56"/>
      <c r="C660" s="56"/>
      <c r="D660" s="56"/>
      <c r="E660" s="304"/>
      <c r="F660" s="8"/>
      <c r="G660" s="227"/>
    </row>
    <row r="661" ht="15.75" customHeight="1">
      <c r="A661" s="56"/>
      <c r="B661" s="56"/>
      <c r="C661" s="56"/>
      <c r="D661" s="56"/>
      <c r="E661" s="304"/>
      <c r="F661" s="8"/>
      <c r="G661" s="227"/>
    </row>
    <row r="662" ht="15.75" customHeight="1">
      <c r="A662" s="56"/>
      <c r="B662" s="56"/>
      <c r="C662" s="56"/>
      <c r="D662" s="56"/>
      <c r="E662" s="304"/>
      <c r="F662" s="8"/>
      <c r="G662" s="227"/>
    </row>
    <row r="663" ht="15.75" customHeight="1">
      <c r="A663" s="56"/>
      <c r="B663" s="56"/>
      <c r="C663" s="56"/>
      <c r="D663" s="56"/>
      <c r="E663" s="304"/>
      <c r="F663" s="8"/>
      <c r="G663" s="227"/>
    </row>
    <row r="664" ht="15.75" customHeight="1">
      <c r="A664" s="56"/>
      <c r="B664" s="56"/>
      <c r="C664" s="56"/>
      <c r="D664" s="56"/>
      <c r="E664" s="304"/>
      <c r="F664" s="8"/>
      <c r="G664" s="227"/>
    </row>
    <row r="665" ht="15.75" customHeight="1">
      <c r="A665" s="56"/>
      <c r="B665" s="56"/>
      <c r="C665" s="56"/>
      <c r="D665" s="56"/>
      <c r="E665" s="304"/>
      <c r="F665" s="8"/>
      <c r="G665" s="227"/>
    </row>
    <row r="666" ht="15.75" customHeight="1">
      <c r="A666" s="56"/>
      <c r="B666" s="56"/>
      <c r="C666" s="56"/>
      <c r="D666" s="56"/>
      <c r="E666" s="304"/>
      <c r="F666" s="8"/>
      <c r="G666" s="227"/>
    </row>
    <row r="667" ht="15.75" customHeight="1">
      <c r="A667" s="56"/>
      <c r="B667" s="56"/>
      <c r="C667" s="56"/>
      <c r="D667" s="56"/>
      <c r="E667" s="304"/>
      <c r="F667" s="8"/>
      <c r="G667" s="227"/>
    </row>
    <row r="668" ht="15.75" customHeight="1">
      <c r="A668" s="56"/>
      <c r="B668" s="56"/>
      <c r="C668" s="56"/>
      <c r="D668" s="56"/>
      <c r="E668" s="304"/>
      <c r="F668" s="8"/>
      <c r="G668" s="227"/>
    </row>
    <row r="669" ht="15.75" customHeight="1">
      <c r="A669" s="56"/>
      <c r="B669" s="56"/>
      <c r="C669" s="56"/>
      <c r="D669" s="56"/>
      <c r="E669" s="304"/>
      <c r="F669" s="8"/>
      <c r="G669" s="227"/>
    </row>
    <row r="670" ht="15.75" customHeight="1">
      <c r="A670" s="56"/>
      <c r="B670" s="56"/>
      <c r="C670" s="56"/>
      <c r="D670" s="56"/>
      <c r="E670" s="304"/>
      <c r="F670" s="8"/>
      <c r="G670" s="227"/>
    </row>
    <row r="671" ht="15.75" customHeight="1">
      <c r="A671" s="56"/>
      <c r="B671" s="56"/>
      <c r="C671" s="56"/>
      <c r="D671" s="56"/>
      <c r="E671" s="304"/>
      <c r="F671" s="8"/>
      <c r="G671" s="227"/>
    </row>
    <row r="672" ht="15.75" customHeight="1">
      <c r="A672" s="56"/>
      <c r="B672" s="56"/>
      <c r="C672" s="56"/>
      <c r="D672" s="56"/>
      <c r="E672" s="304"/>
      <c r="F672" s="8"/>
      <c r="G672" s="227"/>
    </row>
    <row r="673" ht="15.75" customHeight="1">
      <c r="A673" s="56"/>
      <c r="B673" s="56"/>
      <c r="C673" s="56"/>
      <c r="D673" s="56"/>
      <c r="E673" s="304"/>
      <c r="F673" s="8"/>
      <c r="G673" s="227"/>
    </row>
    <row r="674" ht="15.75" customHeight="1">
      <c r="A674" s="56"/>
      <c r="B674" s="56"/>
      <c r="C674" s="56"/>
      <c r="D674" s="56"/>
      <c r="E674" s="304"/>
      <c r="F674" s="8"/>
      <c r="G674" s="227"/>
    </row>
    <row r="675" ht="15.75" customHeight="1">
      <c r="A675" s="56"/>
      <c r="B675" s="56"/>
      <c r="C675" s="56"/>
      <c r="D675" s="56"/>
      <c r="E675" s="304"/>
      <c r="F675" s="8"/>
      <c r="G675" s="227"/>
    </row>
    <row r="676" ht="15.75" customHeight="1">
      <c r="A676" s="56"/>
      <c r="B676" s="56"/>
      <c r="C676" s="56"/>
      <c r="D676" s="56"/>
      <c r="E676" s="304"/>
      <c r="F676" s="8"/>
      <c r="G676" s="227"/>
    </row>
    <row r="677" ht="15.75" customHeight="1">
      <c r="A677" s="56"/>
      <c r="B677" s="56"/>
      <c r="C677" s="56"/>
      <c r="D677" s="56"/>
      <c r="E677" s="304"/>
      <c r="F677" s="8"/>
      <c r="G677" s="227"/>
    </row>
    <row r="678" ht="15.75" customHeight="1">
      <c r="A678" s="56"/>
      <c r="B678" s="56"/>
      <c r="C678" s="56"/>
      <c r="D678" s="56"/>
      <c r="E678" s="304"/>
      <c r="F678" s="8"/>
      <c r="G678" s="227"/>
    </row>
    <row r="679" ht="15.75" customHeight="1">
      <c r="A679" s="56"/>
      <c r="B679" s="56"/>
      <c r="C679" s="56"/>
      <c r="D679" s="56"/>
      <c r="E679" s="304"/>
      <c r="F679" s="8"/>
      <c r="G679" s="227"/>
    </row>
    <row r="680" ht="15.75" customHeight="1">
      <c r="A680" s="56"/>
      <c r="B680" s="56"/>
      <c r="C680" s="56"/>
      <c r="D680" s="56"/>
      <c r="E680" s="304"/>
      <c r="F680" s="8"/>
      <c r="G680" s="227"/>
    </row>
    <row r="681" ht="15.75" customHeight="1">
      <c r="A681" s="56"/>
      <c r="B681" s="56"/>
      <c r="C681" s="56"/>
      <c r="D681" s="56"/>
      <c r="E681" s="304"/>
      <c r="F681" s="8"/>
      <c r="G681" s="227"/>
    </row>
    <row r="682" ht="15.75" customHeight="1">
      <c r="A682" s="56"/>
      <c r="B682" s="56"/>
      <c r="C682" s="56"/>
      <c r="D682" s="56"/>
      <c r="E682" s="304"/>
      <c r="F682" s="8"/>
      <c r="G682" s="227"/>
    </row>
    <row r="683" ht="15.75" customHeight="1">
      <c r="A683" s="56"/>
      <c r="B683" s="56"/>
      <c r="C683" s="56"/>
      <c r="D683" s="56"/>
      <c r="E683" s="304"/>
      <c r="F683" s="8"/>
      <c r="G683" s="227"/>
    </row>
    <row r="684" ht="15.75" customHeight="1">
      <c r="A684" s="56"/>
      <c r="B684" s="56"/>
      <c r="C684" s="56"/>
      <c r="D684" s="56"/>
      <c r="E684" s="304"/>
      <c r="F684" s="8"/>
      <c r="G684" s="227"/>
    </row>
    <row r="685" ht="15.75" customHeight="1">
      <c r="A685" s="56"/>
      <c r="B685" s="56"/>
      <c r="C685" s="56"/>
      <c r="D685" s="56"/>
      <c r="E685" s="304"/>
      <c r="F685" s="8"/>
      <c r="G685" s="227"/>
    </row>
    <row r="686" ht="15.75" customHeight="1">
      <c r="A686" s="56"/>
      <c r="B686" s="56"/>
      <c r="C686" s="56"/>
      <c r="D686" s="56"/>
      <c r="E686" s="304"/>
      <c r="F686" s="8"/>
      <c r="G686" s="227"/>
    </row>
    <row r="687" ht="15.75" customHeight="1">
      <c r="A687" s="56"/>
      <c r="B687" s="56"/>
      <c r="C687" s="56"/>
      <c r="D687" s="56"/>
      <c r="E687" s="304"/>
      <c r="F687" s="8"/>
      <c r="G687" s="227"/>
    </row>
    <row r="688" ht="15.75" customHeight="1">
      <c r="A688" s="56"/>
      <c r="B688" s="56"/>
      <c r="C688" s="56"/>
      <c r="D688" s="56"/>
      <c r="E688" s="304"/>
      <c r="F688" s="8"/>
      <c r="G688" s="227"/>
    </row>
    <row r="689" ht="15.75" customHeight="1">
      <c r="A689" s="56"/>
      <c r="B689" s="56"/>
      <c r="C689" s="56"/>
      <c r="D689" s="56"/>
      <c r="E689" s="304"/>
      <c r="F689" s="8"/>
      <c r="G689" s="227"/>
    </row>
    <row r="690" ht="15.75" customHeight="1">
      <c r="A690" s="56"/>
      <c r="B690" s="56"/>
      <c r="C690" s="56"/>
      <c r="D690" s="56"/>
      <c r="E690" s="304"/>
      <c r="F690" s="8"/>
      <c r="G690" s="227"/>
    </row>
    <row r="691" ht="15.75" customHeight="1">
      <c r="A691" s="56"/>
      <c r="B691" s="56"/>
      <c r="C691" s="56"/>
      <c r="D691" s="56"/>
      <c r="E691" s="304"/>
      <c r="F691" s="8"/>
      <c r="G691" s="227"/>
    </row>
    <row r="692" ht="15.75" customHeight="1">
      <c r="A692" s="56"/>
      <c r="B692" s="56"/>
      <c r="C692" s="56"/>
      <c r="D692" s="56"/>
      <c r="E692" s="304"/>
      <c r="F692" s="8"/>
      <c r="G692" s="227"/>
    </row>
    <row r="693" ht="15.75" customHeight="1">
      <c r="A693" s="56"/>
      <c r="B693" s="56"/>
      <c r="C693" s="56"/>
      <c r="D693" s="56"/>
      <c r="E693" s="304"/>
      <c r="F693" s="8"/>
      <c r="G693" s="227"/>
    </row>
    <row r="694" ht="15.75" customHeight="1">
      <c r="A694" s="56"/>
      <c r="B694" s="56"/>
      <c r="C694" s="56"/>
      <c r="D694" s="56"/>
      <c r="E694" s="304"/>
      <c r="F694" s="8"/>
      <c r="G694" s="227"/>
    </row>
    <row r="695" ht="15.75" customHeight="1">
      <c r="A695" s="56"/>
      <c r="B695" s="56"/>
      <c r="C695" s="56"/>
      <c r="D695" s="56"/>
      <c r="E695" s="304"/>
      <c r="F695" s="8"/>
      <c r="G695" s="227"/>
    </row>
    <row r="696" ht="15.75" customHeight="1">
      <c r="A696" s="56"/>
      <c r="B696" s="56"/>
      <c r="C696" s="56"/>
      <c r="D696" s="56"/>
      <c r="E696" s="304"/>
      <c r="F696" s="8"/>
      <c r="G696" s="227"/>
    </row>
    <row r="697" ht="15.75" customHeight="1">
      <c r="A697" s="56"/>
      <c r="B697" s="56"/>
      <c r="C697" s="56"/>
      <c r="D697" s="56"/>
      <c r="E697" s="304"/>
      <c r="F697" s="8"/>
      <c r="G697" s="227"/>
    </row>
    <row r="698" ht="15.75" customHeight="1">
      <c r="A698" s="56"/>
      <c r="B698" s="56"/>
      <c r="C698" s="56"/>
      <c r="D698" s="56"/>
      <c r="E698" s="304"/>
      <c r="F698" s="8"/>
      <c r="G698" s="227"/>
    </row>
    <row r="699" ht="15.75" customHeight="1">
      <c r="A699" s="56"/>
      <c r="B699" s="56"/>
      <c r="C699" s="56"/>
      <c r="D699" s="56"/>
      <c r="E699" s="304"/>
      <c r="F699" s="8"/>
      <c r="G699" s="227"/>
    </row>
    <row r="700" ht="15.75" customHeight="1">
      <c r="A700" s="56"/>
      <c r="B700" s="56"/>
      <c r="C700" s="56"/>
      <c r="D700" s="56"/>
      <c r="E700" s="304"/>
      <c r="F700" s="8"/>
      <c r="G700" s="227"/>
    </row>
    <row r="701" ht="15.75" customHeight="1">
      <c r="A701" s="56"/>
      <c r="B701" s="56"/>
      <c r="C701" s="56"/>
      <c r="D701" s="56"/>
      <c r="E701" s="304"/>
      <c r="F701" s="8"/>
      <c r="G701" s="227"/>
    </row>
    <row r="702" ht="15.75" customHeight="1">
      <c r="A702" s="56"/>
      <c r="B702" s="56"/>
      <c r="C702" s="56"/>
      <c r="D702" s="56"/>
      <c r="E702" s="304"/>
      <c r="F702" s="8"/>
      <c r="G702" s="227"/>
    </row>
    <row r="703" ht="15.75" customHeight="1">
      <c r="A703" s="56"/>
      <c r="B703" s="56"/>
      <c r="C703" s="56"/>
      <c r="D703" s="56"/>
      <c r="E703" s="304"/>
      <c r="F703" s="8"/>
      <c r="G703" s="227"/>
    </row>
    <row r="704" ht="15.75" customHeight="1">
      <c r="A704" s="56"/>
      <c r="B704" s="56"/>
      <c r="C704" s="56"/>
      <c r="D704" s="56"/>
      <c r="E704" s="304"/>
      <c r="F704" s="8"/>
      <c r="G704" s="227"/>
    </row>
    <row r="705" ht="15.75" customHeight="1">
      <c r="A705" s="56"/>
      <c r="B705" s="56"/>
      <c r="C705" s="56"/>
      <c r="D705" s="56"/>
      <c r="E705" s="304"/>
      <c r="F705" s="8"/>
      <c r="G705" s="227"/>
    </row>
    <row r="706" ht="15.75" customHeight="1">
      <c r="A706" s="56"/>
      <c r="B706" s="56"/>
      <c r="C706" s="56"/>
      <c r="D706" s="56"/>
      <c r="E706" s="304"/>
      <c r="F706" s="8"/>
      <c r="G706" s="227"/>
    </row>
    <row r="707" ht="15.75" customHeight="1">
      <c r="A707" s="56"/>
      <c r="B707" s="56"/>
      <c r="C707" s="56"/>
      <c r="D707" s="56"/>
      <c r="E707" s="304"/>
      <c r="F707" s="8"/>
      <c r="G707" s="227"/>
    </row>
    <row r="708" ht="15.75" customHeight="1">
      <c r="A708" s="56"/>
      <c r="B708" s="56"/>
      <c r="C708" s="56"/>
      <c r="D708" s="56"/>
      <c r="E708" s="304"/>
      <c r="F708" s="8"/>
      <c r="G708" s="227"/>
    </row>
    <row r="709" ht="15.75" customHeight="1">
      <c r="A709" s="56"/>
      <c r="B709" s="56"/>
      <c r="C709" s="56"/>
      <c r="D709" s="56"/>
      <c r="E709" s="304"/>
      <c r="F709" s="8"/>
      <c r="G709" s="227"/>
    </row>
    <row r="710" ht="15.75" customHeight="1">
      <c r="A710" s="56"/>
      <c r="B710" s="56"/>
      <c r="C710" s="56"/>
      <c r="D710" s="56"/>
      <c r="E710" s="304"/>
      <c r="F710" s="8"/>
      <c r="G710" s="227"/>
    </row>
    <row r="711" ht="15.75" customHeight="1">
      <c r="A711" s="56"/>
      <c r="B711" s="56"/>
      <c r="C711" s="56"/>
      <c r="D711" s="56"/>
      <c r="E711" s="304"/>
      <c r="F711" s="8"/>
      <c r="G711" s="227"/>
    </row>
    <row r="712" ht="15.75" customHeight="1">
      <c r="A712" s="56"/>
      <c r="B712" s="56"/>
      <c r="C712" s="56"/>
      <c r="D712" s="56"/>
      <c r="E712" s="304"/>
      <c r="F712" s="8"/>
      <c r="G712" s="227"/>
    </row>
    <row r="713" ht="15.75" customHeight="1">
      <c r="A713" s="56"/>
      <c r="B713" s="56"/>
      <c r="C713" s="56"/>
      <c r="D713" s="56"/>
      <c r="E713" s="304"/>
      <c r="F713" s="8"/>
      <c r="G713" s="227"/>
    </row>
    <row r="714" ht="15.75" customHeight="1">
      <c r="A714" s="56"/>
      <c r="B714" s="56"/>
      <c r="C714" s="56"/>
      <c r="D714" s="56"/>
      <c r="E714" s="304"/>
      <c r="F714" s="8"/>
      <c r="G714" s="227"/>
    </row>
    <row r="715" ht="15.75" customHeight="1">
      <c r="A715" s="56"/>
      <c r="B715" s="56"/>
      <c r="C715" s="56"/>
      <c r="D715" s="56"/>
      <c r="E715" s="304"/>
      <c r="F715" s="8"/>
      <c r="G715" s="227"/>
    </row>
    <row r="716" ht="15.75" customHeight="1">
      <c r="A716" s="56"/>
      <c r="B716" s="56"/>
      <c r="C716" s="56"/>
      <c r="D716" s="56"/>
      <c r="E716" s="304"/>
      <c r="F716" s="8"/>
      <c r="G716" s="227"/>
    </row>
    <row r="717" ht="15.75" customHeight="1">
      <c r="A717" s="56"/>
      <c r="B717" s="56"/>
      <c r="C717" s="56"/>
      <c r="D717" s="56"/>
      <c r="E717" s="304"/>
      <c r="F717" s="8"/>
      <c r="G717" s="227"/>
    </row>
    <row r="718" ht="15.75" customHeight="1">
      <c r="A718" s="56"/>
      <c r="B718" s="56"/>
      <c r="C718" s="56"/>
      <c r="D718" s="56"/>
      <c r="E718" s="304"/>
      <c r="F718" s="8"/>
      <c r="G718" s="227"/>
    </row>
    <row r="719" ht="15.75" customHeight="1">
      <c r="A719" s="56"/>
      <c r="B719" s="56"/>
      <c r="C719" s="56"/>
      <c r="D719" s="56"/>
      <c r="E719" s="304"/>
      <c r="F719" s="8"/>
      <c r="G719" s="227"/>
    </row>
    <row r="720" ht="15.75" customHeight="1">
      <c r="A720" s="56"/>
      <c r="B720" s="56"/>
      <c r="C720" s="56"/>
      <c r="D720" s="56"/>
      <c r="E720" s="304"/>
      <c r="F720" s="8"/>
      <c r="G720" s="227"/>
    </row>
    <row r="721" ht="15.75" customHeight="1">
      <c r="A721" s="56"/>
      <c r="B721" s="56"/>
      <c r="C721" s="56"/>
      <c r="D721" s="56"/>
      <c r="E721" s="304"/>
      <c r="F721" s="8"/>
      <c r="G721" s="227"/>
    </row>
    <row r="722" ht="15.75" customHeight="1">
      <c r="A722" s="56"/>
      <c r="B722" s="56"/>
      <c r="C722" s="56"/>
      <c r="D722" s="56"/>
      <c r="E722" s="304"/>
      <c r="F722" s="8"/>
      <c r="G722" s="227"/>
    </row>
    <row r="723" ht="15.75" customHeight="1">
      <c r="A723" s="56"/>
      <c r="B723" s="56"/>
      <c r="C723" s="56"/>
      <c r="D723" s="56"/>
      <c r="E723" s="304"/>
      <c r="F723" s="8"/>
      <c r="G723" s="227"/>
    </row>
    <row r="724" ht="15.75" customHeight="1">
      <c r="A724" s="56"/>
      <c r="B724" s="56"/>
      <c r="C724" s="56"/>
      <c r="D724" s="56"/>
      <c r="E724" s="304"/>
      <c r="F724" s="8"/>
      <c r="G724" s="227"/>
    </row>
    <row r="725" ht="15.75" customHeight="1">
      <c r="A725" s="56"/>
      <c r="B725" s="56"/>
      <c r="C725" s="56"/>
      <c r="D725" s="56"/>
      <c r="E725" s="304"/>
      <c r="F725" s="8"/>
      <c r="G725" s="227"/>
    </row>
    <row r="726" ht="15.75" customHeight="1">
      <c r="A726" s="56"/>
      <c r="B726" s="56"/>
      <c r="C726" s="56"/>
      <c r="D726" s="56"/>
      <c r="E726" s="304"/>
      <c r="F726" s="8"/>
      <c r="G726" s="227"/>
    </row>
    <row r="727" ht="15.75" customHeight="1">
      <c r="A727" s="56"/>
      <c r="B727" s="56"/>
      <c r="C727" s="56"/>
      <c r="D727" s="56"/>
      <c r="E727" s="304"/>
      <c r="F727" s="8"/>
      <c r="G727" s="227"/>
    </row>
    <row r="728" ht="15.75" customHeight="1">
      <c r="A728" s="56"/>
      <c r="B728" s="56"/>
      <c r="C728" s="56"/>
      <c r="D728" s="56"/>
      <c r="E728" s="304"/>
      <c r="F728" s="8"/>
      <c r="G728" s="227"/>
    </row>
    <row r="729" ht="15.75" customHeight="1">
      <c r="A729" s="56"/>
      <c r="B729" s="56"/>
      <c r="C729" s="56"/>
      <c r="D729" s="56"/>
      <c r="E729" s="304"/>
      <c r="F729" s="8"/>
      <c r="G729" s="227"/>
    </row>
    <row r="730" ht="15.75" customHeight="1">
      <c r="A730" s="56"/>
      <c r="B730" s="56"/>
      <c r="C730" s="56"/>
      <c r="D730" s="56"/>
      <c r="E730" s="304"/>
      <c r="F730" s="8"/>
      <c r="G730" s="227"/>
    </row>
    <row r="731" ht="15.75" customHeight="1">
      <c r="A731" s="56"/>
      <c r="B731" s="56"/>
      <c r="C731" s="56"/>
      <c r="D731" s="56"/>
      <c r="E731" s="304"/>
      <c r="F731" s="8"/>
      <c r="G731" s="227"/>
    </row>
    <row r="732" ht="15.75" customHeight="1">
      <c r="A732" s="56"/>
      <c r="B732" s="56"/>
      <c r="C732" s="56"/>
      <c r="D732" s="56"/>
      <c r="E732" s="304"/>
      <c r="F732" s="8"/>
      <c r="G732" s="227"/>
    </row>
    <row r="733" ht="15.75" customHeight="1">
      <c r="A733" s="56"/>
      <c r="B733" s="56"/>
      <c r="C733" s="56"/>
      <c r="D733" s="56"/>
      <c r="E733" s="304"/>
      <c r="F733" s="8"/>
      <c r="G733" s="227"/>
    </row>
    <row r="734" ht="15.75" customHeight="1">
      <c r="A734" s="56"/>
      <c r="B734" s="56"/>
      <c r="C734" s="56"/>
      <c r="D734" s="56"/>
      <c r="E734" s="304"/>
      <c r="F734" s="8"/>
      <c r="G734" s="227"/>
    </row>
    <row r="735" ht="15.75" customHeight="1">
      <c r="A735" s="56"/>
      <c r="B735" s="56"/>
      <c r="C735" s="56"/>
      <c r="D735" s="56"/>
      <c r="E735" s="304"/>
      <c r="F735" s="8"/>
      <c r="G735" s="227"/>
    </row>
    <row r="736" ht="15.75" customHeight="1">
      <c r="A736" s="56"/>
      <c r="B736" s="56"/>
      <c r="C736" s="56"/>
      <c r="D736" s="56"/>
      <c r="E736" s="304"/>
      <c r="F736" s="8"/>
      <c r="G736" s="227"/>
    </row>
    <row r="737" ht="15.75" customHeight="1">
      <c r="A737" s="56"/>
      <c r="B737" s="56"/>
      <c r="C737" s="56"/>
      <c r="D737" s="56"/>
      <c r="E737" s="304"/>
      <c r="F737" s="8"/>
      <c r="G737" s="227"/>
    </row>
    <row r="738" ht="15.75" customHeight="1">
      <c r="A738" s="56"/>
      <c r="B738" s="56"/>
      <c r="C738" s="56"/>
      <c r="D738" s="56"/>
      <c r="E738" s="304"/>
      <c r="F738" s="8"/>
      <c r="G738" s="227"/>
    </row>
    <row r="739" ht="15.75" customHeight="1">
      <c r="A739" s="56"/>
      <c r="B739" s="56"/>
      <c r="C739" s="56"/>
      <c r="D739" s="56"/>
      <c r="E739" s="304"/>
      <c r="F739" s="8"/>
      <c r="G739" s="227"/>
    </row>
    <row r="740" ht="15.75" customHeight="1">
      <c r="A740" s="56"/>
      <c r="B740" s="56"/>
      <c r="C740" s="56"/>
      <c r="D740" s="56"/>
      <c r="E740" s="304"/>
      <c r="F740" s="8"/>
      <c r="G740" s="227"/>
    </row>
    <row r="741" ht="15.75" customHeight="1">
      <c r="A741" s="56"/>
      <c r="B741" s="56"/>
      <c r="C741" s="56"/>
      <c r="D741" s="56"/>
      <c r="E741" s="304"/>
      <c r="F741" s="8"/>
      <c r="G741" s="227"/>
    </row>
    <row r="742" ht="15.75" customHeight="1">
      <c r="A742" s="56"/>
      <c r="B742" s="56"/>
      <c r="C742" s="56"/>
      <c r="D742" s="56"/>
      <c r="E742" s="304"/>
      <c r="F742" s="8"/>
      <c r="G742" s="227"/>
    </row>
    <row r="743" ht="15.75" customHeight="1">
      <c r="A743" s="56"/>
      <c r="B743" s="56"/>
      <c r="C743" s="56"/>
      <c r="D743" s="56"/>
      <c r="E743" s="304"/>
      <c r="F743" s="8"/>
      <c r="G743" s="227"/>
    </row>
    <row r="744" ht="15.75" customHeight="1">
      <c r="A744" s="56"/>
      <c r="B744" s="56"/>
      <c r="C744" s="56"/>
      <c r="D744" s="56"/>
      <c r="E744" s="304"/>
      <c r="F744" s="8"/>
      <c r="G744" s="227"/>
    </row>
    <row r="745" ht="15.75" customHeight="1">
      <c r="A745" s="56"/>
      <c r="B745" s="56"/>
      <c r="C745" s="56"/>
      <c r="D745" s="56"/>
      <c r="E745" s="304"/>
      <c r="F745" s="8"/>
      <c r="G745" s="227"/>
    </row>
    <row r="746" ht="15.75" customHeight="1">
      <c r="A746" s="56"/>
      <c r="B746" s="56"/>
      <c r="C746" s="56"/>
      <c r="D746" s="56"/>
      <c r="E746" s="304"/>
      <c r="F746" s="8"/>
      <c r="G746" s="227"/>
    </row>
    <row r="747" ht="15.75" customHeight="1">
      <c r="A747" s="56"/>
      <c r="B747" s="56"/>
      <c r="C747" s="56"/>
      <c r="D747" s="56"/>
      <c r="E747" s="304"/>
      <c r="F747" s="8"/>
      <c r="G747" s="227"/>
    </row>
    <row r="748" ht="15.75" customHeight="1">
      <c r="A748" s="56"/>
      <c r="B748" s="56"/>
      <c r="C748" s="56"/>
      <c r="D748" s="56"/>
      <c r="E748" s="304"/>
      <c r="F748" s="8"/>
      <c r="G748" s="227"/>
    </row>
    <row r="749" ht="15.75" customHeight="1">
      <c r="A749" s="56"/>
      <c r="B749" s="56"/>
      <c r="C749" s="56"/>
      <c r="D749" s="56"/>
      <c r="E749" s="304"/>
      <c r="F749" s="8"/>
      <c r="G749" s="227"/>
    </row>
    <row r="750" ht="15.75" customHeight="1">
      <c r="A750" s="56"/>
      <c r="B750" s="56"/>
      <c r="C750" s="56"/>
      <c r="D750" s="56"/>
      <c r="E750" s="304"/>
      <c r="F750" s="8"/>
      <c r="G750" s="227"/>
    </row>
    <row r="751" ht="15.75" customHeight="1">
      <c r="A751" s="56"/>
      <c r="B751" s="56"/>
      <c r="C751" s="56"/>
      <c r="D751" s="56"/>
      <c r="E751" s="304"/>
      <c r="F751" s="8"/>
      <c r="G751" s="227"/>
    </row>
    <row r="752" ht="15.75" customHeight="1">
      <c r="A752" s="56"/>
      <c r="B752" s="56"/>
      <c r="C752" s="56"/>
      <c r="D752" s="56"/>
      <c r="E752" s="304"/>
      <c r="F752" s="8"/>
      <c r="G752" s="227"/>
    </row>
    <row r="753" ht="15.75" customHeight="1">
      <c r="A753" s="56"/>
      <c r="B753" s="56"/>
      <c r="C753" s="56"/>
      <c r="D753" s="56"/>
      <c r="E753" s="304"/>
      <c r="F753" s="8"/>
      <c r="G753" s="227"/>
    </row>
    <row r="754" ht="15.75" customHeight="1">
      <c r="A754" s="56"/>
      <c r="B754" s="56"/>
      <c r="C754" s="56"/>
      <c r="D754" s="56"/>
      <c r="E754" s="304"/>
      <c r="F754" s="8"/>
      <c r="G754" s="227"/>
    </row>
    <row r="755" ht="15.75" customHeight="1">
      <c r="A755" s="56"/>
      <c r="B755" s="56"/>
      <c r="C755" s="56"/>
      <c r="D755" s="56"/>
      <c r="E755" s="304"/>
      <c r="F755" s="8"/>
      <c r="G755" s="227"/>
    </row>
    <row r="756" ht="15.75" customHeight="1">
      <c r="A756" s="56"/>
      <c r="B756" s="56"/>
      <c r="C756" s="56"/>
      <c r="D756" s="56"/>
      <c r="E756" s="304"/>
      <c r="F756" s="8"/>
      <c r="G756" s="227"/>
    </row>
    <row r="757" ht="15.75" customHeight="1">
      <c r="A757" s="56"/>
      <c r="B757" s="56"/>
      <c r="C757" s="56"/>
      <c r="D757" s="56"/>
      <c r="E757" s="304"/>
      <c r="F757" s="8"/>
      <c r="G757" s="227"/>
    </row>
    <row r="758" ht="15.75" customHeight="1">
      <c r="A758" s="56"/>
      <c r="B758" s="56"/>
      <c r="C758" s="56"/>
      <c r="D758" s="56"/>
      <c r="E758" s="304"/>
      <c r="F758" s="8"/>
      <c r="G758" s="227"/>
    </row>
    <row r="759" ht="15.75" customHeight="1">
      <c r="A759" s="56"/>
      <c r="B759" s="56"/>
      <c r="C759" s="56"/>
      <c r="D759" s="56"/>
      <c r="E759" s="304"/>
      <c r="F759" s="8"/>
      <c r="G759" s="227"/>
    </row>
    <row r="760" ht="15.75" customHeight="1">
      <c r="A760" s="56"/>
      <c r="B760" s="56"/>
      <c r="C760" s="56"/>
      <c r="D760" s="56"/>
      <c r="E760" s="304"/>
      <c r="F760" s="8"/>
      <c r="G760" s="227"/>
    </row>
    <row r="761" ht="15.75" customHeight="1">
      <c r="A761" s="56"/>
      <c r="B761" s="56"/>
      <c r="C761" s="56"/>
      <c r="D761" s="56"/>
      <c r="E761" s="304"/>
      <c r="F761" s="8"/>
      <c r="G761" s="227"/>
    </row>
    <row r="762" ht="15.75" customHeight="1">
      <c r="A762" s="56"/>
      <c r="B762" s="56"/>
      <c r="C762" s="56"/>
      <c r="D762" s="56"/>
      <c r="E762" s="304"/>
      <c r="F762" s="8"/>
      <c r="G762" s="227"/>
    </row>
    <row r="763" ht="15.75" customHeight="1">
      <c r="A763" s="56"/>
      <c r="B763" s="56"/>
      <c r="C763" s="56"/>
      <c r="D763" s="56"/>
      <c r="E763" s="304"/>
      <c r="F763" s="8"/>
      <c r="G763" s="227"/>
    </row>
    <row r="764" ht="15.75" customHeight="1">
      <c r="A764" s="56"/>
      <c r="B764" s="56"/>
      <c r="C764" s="56"/>
      <c r="D764" s="56"/>
      <c r="E764" s="304"/>
      <c r="F764" s="8"/>
      <c r="G764" s="227"/>
    </row>
    <row r="765" ht="15.75" customHeight="1">
      <c r="A765" s="56"/>
      <c r="B765" s="56"/>
      <c r="C765" s="56"/>
      <c r="D765" s="56"/>
      <c r="E765" s="304"/>
      <c r="F765" s="8"/>
      <c r="G765" s="227"/>
    </row>
    <row r="766" ht="15.75" customHeight="1">
      <c r="A766" s="56"/>
      <c r="B766" s="56"/>
      <c r="C766" s="56"/>
      <c r="D766" s="56"/>
      <c r="E766" s="304"/>
      <c r="F766" s="8"/>
      <c r="G766" s="227"/>
    </row>
    <row r="767" ht="15.75" customHeight="1">
      <c r="A767" s="56"/>
      <c r="B767" s="56"/>
      <c r="C767" s="56"/>
      <c r="D767" s="56"/>
      <c r="E767" s="304"/>
      <c r="F767" s="8"/>
      <c r="G767" s="227"/>
    </row>
    <row r="768" ht="15.75" customHeight="1">
      <c r="A768" s="56"/>
      <c r="B768" s="56"/>
      <c r="C768" s="56"/>
      <c r="D768" s="56"/>
      <c r="E768" s="304"/>
      <c r="F768" s="8"/>
      <c r="G768" s="227"/>
    </row>
    <row r="769" ht="15.75" customHeight="1">
      <c r="A769" s="56"/>
      <c r="B769" s="56"/>
      <c r="C769" s="56"/>
      <c r="D769" s="56"/>
      <c r="E769" s="304"/>
      <c r="F769" s="8"/>
      <c r="G769" s="227"/>
    </row>
    <row r="770" ht="15.75" customHeight="1">
      <c r="A770" s="56"/>
      <c r="B770" s="56"/>
      <c r="C770" s="56"/>
      <c r="D770" s="56"/>
      <c r="E770" s="304"/>
      <c r="F770" s="8"/>
      <c r="G770" s="227"/>
    </row>
    <row r="771" ht="15.75" customHeight="1">
      <c r="A771" s="56"/>
      <c r="B771" s="56"/>
      <c r="C771" s="56"/>
      <c r="D771" s="56"/>
      <c r="E771" s="304"/>
      <c r="F771" s="8"/>
      <c r="G771" s="227"/>
    </row>
    <row r="772" ht="15.75" customHeight="1">
      <c r="A772" s="56"/>
      <c r="B772" s="56"/>
      <c r="C772" s="56"/>
      <c r="D772" s="56"/>
      <c r="E772" s="304"/>
      <c r="F772" s="8"/>
      <c r="G772" s="227"/>
    </row>
    <row r="773" ht="15.75" customHeight="1">
      <c r="A773" s="56"/>
      <c r="B773" s="56"/>
      <c r="C773" s="56"/>
      <c r="D773" s="56"/>
      <c r="E773" s="304"/>
      <c r="F773" s="8"/>
      <c r="G773" s="227"/>
    </row>
    <row r="774" ht="15.75" customHeight="1">
      <c r="A774" s="56"/>
      <c r="B774" s="56"/>
      <c r="C774" s="56"/>
      <c r="D774" s="56"/>
      <c r="E774" s="304"/>
      <c r="F774" s="8"/>
      <c r="G774" s="227"/>
    </row>
    <row r="775" ht="15.75" customHeight="1">
      <c r="A775" s="56"/>
      <c r="B775" s="56"/>
      <c r="C775" s="56"/>
      <c r="D775" s="56"/>
      <c r="E775" s="304"/>
      <c r="F775" s="8"/>
      <c r="G775" s="227"/>
    </row>
    <row r="776" ht="15.75" customHeight="1">
      <c r="A776" s="56"/>
      <c r="B776" s="56"/>
      <c r="C776" s="56"/>
      <c r="D776" s="56"/>
      <c r="E776" s="304"/>
      <c r="F776" s="8"/>
      <c r="G776" s="227"/>
    </row>
    <row r="777" ht="15.75" customHeight="1">
      <c r="A777" s="56"/>
      <c r="B777" s="56"/>
      <c r="C777" s="56"/>
      <c r="D777" s="56"/>
      <c r="E777" s="304"/>
      <c r="F777" s="8"/>
      <c r="G777" s="227"/>
    </row>
    <row r="778" ht="15.75" customHeight="1">
      <c r="A778" s="56"/>
      <c r="B778" s="56"/>
      <c r="C778" s="56"/>
      <c r="D778" s="56"/>
      <c r="E778" s="304"/>
      <c r="F778" s="8"/>
      <c r="G778" s="227"/>
    </row>
    <row r="779" ht="15.75" customHeight="1">
      <c r="A779" s="56"/>
      <c r="B779" s="56"/>
      <c r="C779" s="56"/>
      <c r="D779" s="56"/>
      <c r="E779" s="304"/>
      <c r="F779" s="8"/>
      <c r="G779" s="227"/>
    </row>
    <row r="780" ht="15.75" customHeight="1">
      <c r="A780" s="56"/>
      <c r="B780" s="56"/>
      <c r="C780" s="56"/>
      <c r="D780" s="56"/>
      <c r="E780" s="304"/>
      <c r="F780" s="8"/>
      <c r="G780" s="227"/>
    </row>
    <row r="781" ht="15.75" customHeight="1">
      <c r="A781" s="56"/>
      <c r="B781" s="56"/>
      <c r="C781" s="56"/>
      <c r="D781" s="56"/>
      <c r="E781" s="304"/>
      <c r="F781" s="8"/>
      <c r="G781" s="227"/>
    </row>
    <row r="782" ht="15.75" customHeight="1">
      <c r="A782" s="56"/>
      <c r="B782" s="56"/>
      <c r="C782" s="56"/>
      <c r="D782" s="56"/>
      <c r="E782" s="304"/>
      <c r="F782" s="8"/>
      <c r="G782" s="227"/>
    </row>
    <row r="783" ht="15.75" customHeight="1">
      <c r="A783" s="56"/>
      <c r="B783" s="56"/>
      <c r="C783" s="56"/>
      <c r="D783" s="56"/>
      <c r="E783" s="304"/>
      <c r="F783" s="8"/>
      <c r="G783" s="227"/>
    </row>
    <row r="784" ht="15.75" customHeight="1">
      <c r="A784" s="56"/>
      <c r="B784" s="56"/>
      <c r="C784" s="56"/>
      <c r="D784" s="56"/>
      <c r="E784" s="304"/>
      <c r="F784" s="8"/>
      <c r="G784" s="227"/>
    </row>
    <row r="785" ht="15.75" customHeight="1">
      <c r="A785" s="56"/>
      <c r="B785" s="56"/>
      <c r="C785" s="56"/>
      <c r="D785" s="56"/>
      <c r="E785" s="304"/>
      <c r="F785" s="8"/>
      <c r="G785" s="227"/>
    </row>
    <row r="786" ht="15.75" customHeight="1">
      <c r="A786" s="56"/>
      <c r="B786" s="56"/>
      <c r="C786" s="56"/>
      <c r="D786" s="56"/>
      <c r="E786" s="304"/>
      <c r="F786" s="8"/>
      <c r="G786" s="227"/>
    </row>
    <row r="787" ht="15.75" customHeight="1">
      <c r="A787" s="56"/>
      <c r="B787" s="56"/>
      <c r="C787" s="56"/>
      <c r="D787" s="56"/>
      <c r="E787" s="304"/>
      <c r="F787" s="8"/>
      <c r="G787" s="227"/>
    </row>
    <row r="788" ht="15.75" customHeight="1">
      <c r="A788" s="56"/>
      <c r="B788" s="56"/>
      <c r="C788" s="56"/>
      <c r="D788" s="56"/>
      <c r="E788" s="304"/>
      <c r="F788" s="8"/>
      <c r="G788" s="227"/>
    </row>
    <row r="789" ht="15.75" customHeight="1">
      <c r="A789" s="56"/>
      <c r="B789" s="56"/>
      <c r="C789" s="56"/>
      <c r="D789" s="56"/>
      <c r="E789" s="304"/>
      <c r="F789" s="8"/>
      <c r="G789" s="227"/>
    </row>
    <row r="790" ht="15.75" customHeight="1">
      <c r="A790" s="56"/>
      <c r="B790" s="56"/>
      <c r="C790" s="56"/>
      <c r="D790" s="56"/>
      <c r="E790" s="304"/>
      <c r="F790" s="8"/>
      <c r="G790" s="227"/>
    </row>
    <row r="791" ht="15.75" customHeight="1">
      <c r="A791" s="56"/>
      <c r="B791" s="56"/>
      <c r="C791" s="56"/>
      <c r="D791" s="56"/>
      <c r="E791" s="304"/>
      <c r="F791" s="8"/>
      <c r="G791" s="227"/>
    </row>
    <row r="792" ht="15.75" customHeight="1">
      <c r="A792" s="56"/>
      <c r="B792" s="56"/>
      <c r="C792" s="56"/>
      <c r="D792" s="56"/>
      <c r="E792" s="304"/>
      <c r="F792" s="8"/>
      <c r="G792" s="227"/>
    </row>
    <row r="793" ht="15.75" customHeight="1">
      <c r="A793" s="56"/>
      <c r="B793" s="56"/>
      <c r="C793" s="56"/>
      <c r="D793" s="56"/>
      <c r="E793" s="304"/>
      <c r="F793" s="8"/>
      <c r="G793" s="227"/>
    </row>
    <row r="794" ht="15.75" customHeight="1">
      <c r="A794" s="56"/>
      <c r="B794" s="56"/>
      <c r="C794" s="56"/>
      <c r="D794" s="56"/>
      <c r="E794" s="304"/>
      <c r="F794" s="8"/>
      <c r="G794" s="227"/>
    </row>
    <row r="795" ht="15.75" customHeight="1">
      <c r="A795" s="56"/>
      <c r="B795" s="56"/>
      <c r="C795" s="56"/>
      <c r="D795" s="56"/>
      <c r="E795" s="304"/>
      <c r="F795" s="8"/>
      <c r="G795" s="227"/>
    </row>
    <row r="796" ht="15.75" customHeight="1">
      <c r="A796" s="56"/>
      <c r="B796" s="56"/>
      <c r="C796" s="56"/>
      <c r="D796" s="56"/>
      <c r="E796" s="304"/>
      <c r="F796" s="8"/>
      <c r="G796" s="227"/>
    </row>
    <row r="797" ht="15.75" customHeight="1">
      <c r="A797" s="56"/>
      <c r="B797" s="56"/>
      <c r="C797" s="56"/>
      <c r="D797" s="56"/>
      <c r="E797" s="304"/>
      <c r="F797" s="8"/>
      <c r="G797" s="227"/>
    </row>
    <row r="798" ht="15.75" customHeight="1">
      <c r="A798" s="56"/>
      <c r="B798" s="56"/>
      <c r="C798" s="56"/>
      <c r="D798" s="56"/>
      <c r="E798" s="304"/>
      <c r="F798" s="8"/>
      <c r="G798" s="227"/>
    </row>
    <row r="799" ht="15.75" customHeight="1">
      <c r="A799" s="56"/>
      <c r="B799" s="56"/>
      <c r="C799" s="56"/>
      <c r="D799" s="56"/>
      <c r="E799" s="304"/>
      <c r="F799" s="8"/>
      <c r="G799" s="227"/>
    </row>
    <row r="800" ht="15.75" customHeight="1">
      <c r="A800" s="56"/>
      <c r="B800" s="56"/>
      <c r="C800" s="56"/>
      <c r="D800" s="56"/>
      <c r="E800" s="304"/>
      <c r="F800" s="8"/>
      <c r="G800" s="227"/>
    </row>
    <row r="801" ht="15.75" customHeight="1">
      <c r="A801" s="56"/>
      <c r="B801" s="56"/>
      <c r="C801" s="56"/>
      <c r="D801" s="56"/>
      <c r="E801" s="304"/>
      <c r="F801" s="8"/>
      <c r="G801" s="227"/>
    </row>
    <row r="802" ht="15.75" customHeight="1">
      <c r="A802" s="56"/>
      <c r="B802" s="56"/>
      <c r="C802" s="56"/>
      <c r="D802" s="56"/>
      <c r="E802" s="304"/>
      <c r="F802" s="8"/>
      <c r="G802" s="227"/>
    </row>
    <row r="803" ht="15.75" customHeight="1">
      <c r="A803" s="56"/>
      <c r="B803" s="56"/>
      <c r="C803" s="56"/>
      <c r="D803" s="56"/>
      <c r="E803" s="304"/>
      <c r="F803" s="8"/>
      <c r="G803" s="227"/>
    </row>
    <row r="804" ht="15.75" customHeight="1">
      <c r="A804" s="56"/>
      <c r="B804" s="56"/>
      <c r="C804" s="56"/>
      <c r="D804" s="56"/>
      <c r="E804" s="304"/>
      <c r="F804" s="8"/>
      <c r="G804" s="227"/>
    </row>
    <row r="805" ht="15.75" customHeight="1">
      <c r="A805" s="56"/>
      <c r="B805" s="56"/>
      <c r="C805" s="56"/>
      <c r="D805" s="56"/>
      <c r="E805" s="304"/>
      <c r="F805" s="8"/>
      <c r="G805" s="227"/>
    </row>
    <row r="806" ht="15.75" customHeight="1">
      <c r="A806" s="56"/>
      <c r="B806" s="56"/>
      <c r="C806" s="56"/>
      <c r="D806" s="56"/>
      <c r="E806" s="304"/>
      <c r="F806" s="8"/>
      <c r="G806" s="227"/>
    </row>
    <row r="807" ht="15.75" customHeight="1">
      <c r="A807" s="56"/>
      <c r="B807" s="56"/>
      <c r="C807" s="56"/>
      <c r="D807" s="56"/>
      <c r="E807" s="304"/>
      <c r="F807" s="8"/>
      <c r="G807" s="227"/>
    </row>
    <row r="808" ht="15.75" customHeight="1">
      <c r="A808" s="56"/>
      <c r="B808" s="56"/>
      <c r="C808" s="56"/>
      <c r="D808" s="56"/>
      <c r="E808" s="304"/>
      <c r="F808" s="8"/>
      <c r="G808" s="227"/>
    </row>
    <row r="809" ht="15.75" customHeight="1">
      <c r="A809" s="56"/>
      <c r="B809" s="56"/>
      <c r="C809" s="56"/>
      <c r="D809" s="56"/>
      <c r="E809" s="304"/>
      <c r="F809" s="8"/>
      <c r="G809" s="227"/>
    </row>
    <row r="810" ht="15.75" customHeight="1">
      <c r="A810" s="56"/>
      <c r="B810" s="56"/>
      <c r="C810" s="56"/>
      <c r="D810" s="56"/>
      <c r="E810" s="304"/>
      <c r="F810" s="8"/>
      <c r="G810" s="227"/>
    </row>
    <row r="811" ht="15.75" customHeight="1">
      <c r="A811" s="56"/>
      <c r="B811" s="56"/>
      <c r="C811" s="56"/>
      <c r="D811" s="56"/>
      <c r="E811" s="304"/>
      <c r="F811" s="8"/>
      <c r="G811" s="227"/>
    </row>
    <row r="812" ht="15.75" customHeight="1">
      <c r="A812" s="56"/>
      <c r="B812" s="56"/>
      <c r="C812" s="56"/>
      <c r="D812" s="56"/>
      <c r="E812" s="304"/>
      <c r="F812" s="8"/>
      <c r="G812" s="227"/>
    </row>
    <row r="813" ht="15.75" customHeight="1">
      <c r="A813" s="56"/>
      <c r="B813" s="56"/>
      <c r="C813" s="56"/>
      <c r="D813" s="56"/>
      <c r="E813" s="304"/>
      <c r="F813" s="8"/>
      <c r="G813" s="227"/>
    </row>
    <row r="814" ht="15.75" customHeight="1">
      <c r="A814" s="56"/>
      <c r="B814" s="56"/>
      <c r="C814" s="56"/>
      <c r="D814" s="56"/>
      <c r="E814" s="304"/>
      <c r="F814" s="8"/>
      <c r="G814" s="227"/>
    </row>
    <row r="815" ht="15.75" customHeight="1">
      <c r="A815" s="56"/>
      <c r="B815" s="56"/>
      <c r="C815" s="56"/>
      <c r="D815" s="56"/>
      <c r="E815" s="304"/>
      <c r="F815" s="8"/>
      <c r="G815" s="227"/>
    </row>
    <row r="816" ht="15.75" customHeight="1">
      <c r="A816" s="56"/>
      <c r="B816" s="56"/>
      <c r="C816" s="56"/>
      <c r="D816" s="56"/>
      <c r="E816" s="304"/>
      <c r="F816" s="8"/>
      <c r="G816" s="227"/>
    </row>
    <row r="817" ht="15.75" customHeight="1">
      <c r="A817" s="56"/>
      <c r="B817" s="56"/>
      <c r="C817" s="56"/>
      <c r="D817" s="56"/>
      <c r="E817" s="304"/>
      <c r="F817" s="8"/>
      <c r="G817" s="227"/>
    </row>
    <row r="818" ht="15.75" customHeight="1">
      <c r="A818" s="56"/>
      <c r="B818" s="56"/>
      <c r="C818" s="56"/>
      <c r="D818" s="56"/>
      <c r="E818" s="304"/>
      <c r="F818" s="8"/>
      <c r="G818" s="227"/>
    </row>
    <row r="819" ht="15.75" customHeight="1">
      <c r="A819" s="56"/>
      <c r="B819" s="56"/>
      <c r="C819" s="56"/>
      <c r="D819" s="56"/>
      <c r="E819" s="304"/>
      <c r="F819" s="8"/>
      <c r="G819" s="227"/>
    </row>
    <row r="820" ht="15.75" customHeight="1">
      <c r="A820" s="56"/>
      <c r="B820" s="56"/>
      <c r="C820" s="56"/>
      <c r="D820" s="56"/>
      <c r="E820" s="304"/>
      <c r="F820" s="8"/>
      <c r="G820" s="227"/>
    </row>
    <row r="821" ht="15.75" customHeight="1">
      <c r="A821" s="56"/>
      <c r="B821" s="56"/>
      <c r="C821" s="56"/>
      <c r="D821" s="56"/>
      <c r="E821" s="304"/>
      <c r="F821" s="8"/>
      <c r="G821" s="227"/>
    </row>
    <row r="822" ht="15.75" customHeight="1">
      <c r="A822" s="56"/>
      <c r="B822" s="56"/>
      <c r="C822" s="56"/>
      <c r="D822" s="56"/>
      <c r="E822" s="304"/>
      <c r="F822" s="8"/>
      <c r="G822" s="227"/>
    </row>
    <row r="823" ht="15.75" customHeight="1">
      <c r="A823" s="56"/>
      <c r="B823" s="56"/>
      <c r="C823" s="56"/>
      <c r="D823" s="56"/>
      <c r="E823" s="304"/>
      <c r="F823" s="8"/>
      <c r="G823" s="227"/>
    </row>
    <row r="824" ht="15.75" customHeight="1">
      <c r="A824" s="56"/>
      <c r="B824" s="56"/>
      <c r="C824" s="56"/>
      <c r="D824" s="56"/>
      <c r="E824" s="304"/>
      <c r="F824" s="8"/>
      <c r="G824" s="227"/>
    </row>
    <row r="825" ht="15.75" customHeight="1">
      <c r="A825" s="56"/>
      <c r="B825" s="56"/>
      <c r="C825" s="56"/>
      <c r="D825" s="56"/>
      <c r="E825" s="304"/>
      <c r="F825" s="8"/>
      <c r="G825" s="227"/>
    </row>
    <row r="826" ht="15.75" customHeight="1">
      <c r="A826" s="56"/>
      <c r="B826" s="56"/>
      <c r="C826" s="56"/>
      <c r="D826" s="56"/>
      <c r="E826" s="304"/>
      <c r="F826" s="8"/>
      <c r="G826" s="227"/>
    </row>
    <row r="827" ht="15.75" customHeight="1">
      <c r="A827" s="56"/>
      <c r="B827" s="56"/>
      <c r="C827" s="56"/>
      <c r="D827" s="56"/>
      <c r="E827" s="304"/>
      <c r="F827" s="8"/>
      <c r="G827" s="227"/>
    </row>
    <row r="828" ht="15.75" customHeight="1">
      <c r="A828" s="56"/>
      <c r="B828" s="56"/>
      <c r="C828" s="56"/>
      <c r="D828" s="56"/>
      <c r="E828" s="304"/>
      <c r="F828" s="8"/>
      <c r="G828" s="227"/>
    </row>
    <row r="829" ht="15.75" customHeight="1">
      <c r="A829" s="56"/>
      <c r="B829" s="56"/>
      <c r="C829" s="56"/>
      <c r="D829" s="56"/>
      <c r="E829" s="304"/>
      <c r="F829" s="8"/>
      <c r="G829" s="227"/>
    </row>
    <row r="830" ht="15.75" customHeight="1">
      <c r="A830" s="56"/>
      <c r="B830" s="56"/>
      <c r="C830" s="56"/>
      <c r="D830" s="56"/>
      <c r="E830" s="304"/>
      <c r="F830" s="8"/>
      <c r="G830" s="227"/>
    </row>
    <row r="831" ht="15.75" customHeight="1">
      <c r="A831" s="56"/>
      <c r="B831" s="56"/>
      <c r="C831" s="56"/>
      <c r="D831" s="56"/>
      <c r="E831" s="304"/>
      <c r="F831" s="8"/>
      <c r="G831" s="227"/>
    </row>
    <row r="832" ht="15.75" customHeight="1">
      <c r="A832" s="56"/>
      <c r="B832" s="56"/>
      <c r="C832" s="56"/>
      <c r="D832" s="56"/>
      <c r="E832" s="304"/>
      <c r="F832" s="8"/>
      <c r="G832" s="227"/>
    </row>
    <row r="833" ht="15.75" customHeight="1">
      <c r="A833" s="56"/>
      <c r="B833" s="56"/>
      <c r="C833" s="56"/>
      <c r="D833" s="56"/>
      <c r="E833" s="304"/>
      <c r="F833" s="8"/>
      <c r="G833" s="227"/>
    </row>
    <row r="834" ht="15.75" customHeight="1">
      <c r="A834" s="56"/>
      <c r="B834" s="56"/>
      <c r="C834" s="56"/>
      <c r="D834" s="56"/>
      <c r="E834" s="304"/>
      <c r="F834" s="8"/>
      <c r="G834" s="227"/>
    </row>
    <row r="835" ht="15.75" customHeight="1">
      <c r="A835" s="56"/>
      <c r="B835" s="56"/>
      <c r="C835" s="56"/>
      <c r="D835" s="56"/>
      <c r="E835" s="304"/>
      <c r="F835" s="8"/>
      <c r="G835" s="227"/>
    </row>
    <row r="836" ht="15.75" customHeight="1">
      <c r="A836" s="56"/>
      <c r="B836" s="56"/>
      <c r="C836" s="56"/>
      <c r="D836" s="56"/>
      <c r="E836" s="304"/>
      <c r="F836" s="8"/>
      <c r="G836" s="227"/>
    </row>
    <row r="837" ht="15.75" customHeight="1">
      <c r="A837" s="56"/>
      <c r="B837" s="56"/>
      <c r="C837" s="56"/>
      <c r="D837" s="56"/>
      <c r="E837" s="304"/>
      <c r="F837" s="8"/>
      <c r="G837" s="227"/>
    </row>
    <row r="838" ht="15.75" customHeight="1">
      <c r="A838" s="56"/>
      <c r="B838" s="56"/>
      <c r="C838" s="56"/>
      <c r="D838" s="56"/>
      <c r="E838" s="304"/>
      <c r="F838" s="8"/>
      <c r="G838" s="227"/>
    </row>
    <row r="839" ht="15.75" customHeight="1">
      <c r="A839" s="56"/>
      <c r="B839" s="56"/>
      <c r="C839" s="56"/>
      <c r="D839" s="56"/>
      <c r="E839" s="304"/>
      <c r="F839" s="8"/>
      <c r="G839" s="227"/>
    </row>
    <row r="840" ht="15.75" customHeight="1">
      <c r="A840" s="56"/>
      <c r="B840" s="56"/>
      <c r="C840" s="56"/>
      <c r="D840" s="56"/>
      <c r="E840" s="304"/>
      <c r="F840" s="8"/>
      <c r="G840" s="227"/>
    </row>
    <row r="841" ht="15.75" customHeight="1">
      <c r="A841" s="56"/>
      <c r="B841" s="56"/>
      <c r="C841" s="56"/>
      <c r="D841" s="56"/>
      <c r="E841" s="304"/>
      <c r="F841" s="8"/>
      <c r="G841" s="227"/>
    </row>
    <row r="842" ht="15.75" customHeight="1">
      <c r="A842" s="56"/>
      <c r="B842" s="56"/>
      <c r="C842" s="56"/>
      <c r="D842" s="56"/>
      <c r="E842" s="304"/>
      <c r="F842" s="8"/>
      <c r="G842" s="227"/>
    </row>
    <row r="843" ht="15.75" customHeight="1">
      <c r="A843" s="56"/>
      <c r="B843" s="56"/>
      <c r="C843" s="56"/>
      <c r="D843" s="56"/>
      <c r="E843" s="304"/>
      <c r="F843" s="8"/>
      <c r="G843" s="227"/>
    </row>
    <row r="844" ht="15.75" customHeight="1">
      <c r="A844" s="56"/>
      <c r="B844" s="56"/>
      <c r="C844" s="56"/>
      <c r="D844" s="56"/>
      <c r="E844" s="304"/>
      <c r="F844" s="8"/>
      <c r="G844" s="227"/>
    </row>
    <row r="845" ht="15.75" customHeight="1">
      <c r="A845" s="56"/>
      <c r="B845" s="56"/>
      <c r="C845" s="56"/>
      <c r="D845" s="56"/>
      <c r="E845" s="304"/>
      <c r="F845" s="8"/>
      <c r="G845" s="227"/>
    </row>
    <row r="846" ht="15.75" customHeight="1">
      <c r="A846" s="56"/>
      <c r="B846" s="56"/>
      <c r="C846" s="56"/>
      <c r="D846" s="56"/>
      <c r="E846" s="304"/>
      <c r="F846" s="8"/>
      <c r="G846" s="227"/>
    </row>
    <row r="847" ht="15.75" customHeight="1">
      <c r="A847" s="56"/>
      <c r="B847" s="56"/>
      <c r="C847" s="56"/>
      <c r="D847" s="56"/>
      <c r="E847" s="304"/>
      <c r="F847" s="8"/>
      <c r="G847" s="227"/>
    </row>
    <row r="848" ht="15.75" customHeight="1">
      <c r="A848" s="56"/>
      <c r="B848" s="56"/>
      <c r="C848" s="56"/>
      <c r="D848" s="56"/>
      <c r="E848" s="304"/>
      <c r="F848" s="8"/>
      <c r="G848" s="227"/>
    </row>
    <row r="849" ht="15.75" customHeight="1">
      <c r="A849" s="56"/>
      <c r="B849" s="56"/>
      <c r="C849" s="56"/>
      <c r="D849" s="56"/>
      <c r="E849" s="304"/>
      <c r="F849" s="8"/>
      <c r="G849" s="227"/>
    </row>
    <row r="850" ht="15.75" customHeight="1">
      <c r="A850" s="56"/>
      <c r="B850" s="56"/>
      <c r="C850" s="56"/>
      <c r="D850" s="56"/>
      <c r="E850" s="304"/>
      <c r="F850" s="8"/>
      <c r="G850" s="227"/>
    </row>
    <row r="851" ht="15.75" customHeight="1">
      <c r="A851" s="56"/>
      <c r="B851" s="56"/>
      <c r="C851" s="56"/>
      <c r="D851" s="56"/>
      <c r="E851" s="304"/>
      <c r="F851" s="8"/>
      <c r="G851" s="227"/>
    </row>
    <row r="852" ht="15.75" customHeight="1">
      <c r="A852" s="56"/>
      <c r="B852" s="56"/>
      <c r="C852" s="56"/>
      <c r="D852" s="56"/>
      <c r="E852" s="304"/>
      <c r="F852" s="8"/>
      <c r="G852" s="227"/>
    </row>
    <row r="853" ht="15.75" customHeight="1">
      <c r="A853" s="56"/>
      <c r="B853" s="56"/>
      <c r="C853" s="56"/>
      <c r="D853" s="56"/>
      <c r="E853" s="304"/>
      <c r="F853" s="8"/>
      <c r="G853" s="227"/>
    </row>
    <row r="854" ht="15.75" customHeight="1">
      <c r="A854" s="56"/>
      <c r="B854" s="56"/>
      <c r="C854" s="56"/>
      <c r="D854" s="56"/>
      <c r="E854" s="304"/>
      <c r="F854" s="8"/>
      <c r="G854" s="227"/>
    </row>
    <row r="855" ht="15.75" customHeight="1">
      <c r="A855" s="56"/>
      <c r="B855" s="56"/>
      <c r="C855" s="56"/>
      <c r="D855" s="56"/>
      <c r="E855" s="304"/>
      <c r="F855" s="8"/>
      <c r="G855" s="227"/>
    </row>
    <row r="856" ht="15.75" customHeight="1">
      <c r="A856" s="56"/>
      <c r="B856" s="56"/>
      <c r="C856" s="56"/>
      <c r="D856" s="56"/>
      <c r="E856" s="304"/>
      <c r="F856" s="8"/>
      <c r="G856" s="227"/>
    </row>
    <row r="857" ht="15.75" customHeight="1">
      <c r="A857" s="56"/>
      <c r="B857" s="56"/>
      <c r="C857" s="56"/>
      <c r="D857" s="56"/>
      <c r="E857" s="304"/>
      <c r="F857" s="8"/>
      <c r="G857" s="227"/>
    </row>
    <row r="858" ht="15.75" customHeight="1">
      <c r="A858" s="56"/>
      <c r="B858" s="56"/>
      <c r="C858" s="56"/>
      <c r="D858" s="56"/>
      <c r="E858" s="304"/>
      <c r="F858" s="8"/>
      <c r="G858" s="227"/>
    </row>
    <row r="859" ht="15.75" customHeight="1">
      <c r="A859" s="56"/>
      <c r="B859" s="56"/>
      <c r="C859" s="56"/>
      <c r="D859" s="56"/>
      <c r="E859" s="304"/>
      <c r="F859" s="8"/>
      <c r="G859" s="227"/>
    </row>
    <row r="860" ht="15.75" customHeight="1">
      <c r="A860" s="56"/>
      <c r="B860" s="56"/>
      <c r="C860" s="56"/>
      <c r="D860" s="56"/>
      <c r="E860" s="304"/>
      <c r="F860" s="8"/>
      <c r="G860" s="227"/>
    </row>
    <row r="861" ht="15.75" customHeight="1">
      <c r="A861" s="56"/>
      <c r="B861" s="56"/>
      <c r="C861" s="56"/>
      <c r="D861" s="56"/>
      <c r="E861" s="304"/>
      <c r="F861" s="8"/>
      <c r="G861" s="227"/>
    </row>
    <row r="862" ht="15.75" customHeight="1">
      <c r="A862" s="56"/>
      <c r="B862" s="56"/>
      <c r="C862" s="56"/>
      <c r="D862" s="56"/>
      <c r="E862" s="304"/>
      <c r="F862" s="8"/>
      <c r="G862" s="227"/>
    </row>
    <row r="863" ht="15.75" customHeight="1">
      <c r="A863" s="56"/>
      <c r="B863" s="56"/>
      <c r="C863" s="56"/>
      <c r="D863" s="56"/>
      <c r="E863" s="304"/>
      <c r="F863" s="8"/>
      <c r="G863" s="227"/>
    </row>
    <row r="864" ht="15.75" customHeight="1">
      <c r="A864" s="56"/>
      <c r="B864" s="56"/>
      <c r="C864" s="56"/>
      <c r="D864" s="56"/>
      <c r="E864" s="304"/>
      <c r="F864" s="8"/>
      <c r="G864" s="227"/>
    </row>
    <row r="865" ht="15.75" customHeight="1">
      <c r="A865" s="56"/>
      <c r="B865" s="56"/>
      <c r="C865" s="56"/>
      <c r="D865" s="56"/>
      <c r="E865" s="304"/>
      <c r="F865" s="8"/>
      <c r="G865" s="227"/>
    </row>
    <row r="866" ht="15.75" customHeight="1">
      <c r="A866" s="56"/>
      <c r="B866" s="56"/>
      <c r="C866" s="56"/>
      <c r="D866" s="56"/>
      <c r="E866" s="304"/>
      <c r="F866" s="8"/>
      <c r="G866" s="227"/>
    </row>
    <row r="867" ht="15.75" customHeight="1">
      <c r="A867" s="56"/>
      <c r="B867" s="56"/>
      <c r="C867" s="56"/>
      <c r="D867" s="56"/>
      <c r="E867" s="304"/>
      <c r="F867" s="8"/>
      <c r="G867" s="227"/>
    </row>
    <row r="868" ht="15.75" customHeight="1">
      <c r="A868" s="56"/>
      <c r="B868" s="56"/>
      <c r="C868" s="56"/>
      <c r="D868" s="56"/>
      <c r="E868" s="304"/>
      <c r="F868" s="8"/>
      <c r="G868" s="227"/>
    </row>
    <row r="869" ht="15.75" customHeight="1">
      <c r="A869" s="56"/>
      <c r="B869" s="56"/>
      <c r="C869" s="56"/>
      <c r="D869" s="56"/>
      <c r="E869" s="304"/>
      <c r="F869" s="8"/>
      <c r="G869" s="227"/>
    </row>
    <row r="870" ht="15.75" customHeight="1">
      <c r="A870" s="56"/>
      <c r="B870" s="56"/>
      <c r="C870" s="56"/>
      <c r="D870" s="56"/>
      <c r="E870" s="304"/>
      <c r="F870" s="8"/>
      <c r="G870" s="227"/>
    </row>
    <row r="871" ht="15.75" customHeight="1">
      <c r="A871" s="56"/>
      <c r="B871" s="56"/>
      <c r="C871" s="56"/>
      <c r="D871" s="56"/>
      <c r="E871" s="304"/>
      <c r="F871" s="8"/>
      <c r="G871" s="227"/>
    </row>
    <row r="872" ht="15.75" customHeight="1">
      <c r="A872" s="56"/>
      <c r="B872" s="56"/>
      <c r="C872" s="56"/>
      <c r="D872" s="56"/>
      <c r="E872" s="304"/>
      <c r="F872" s="8"/>
      <c r="G872" s="227"/>
    </row>
    <row r="873" ht="15.75" customHeight="1">
      <c r="A873" s="56"/>
      <c r="B873" s="56"/>
      <c r="C873" s="56"/>
      <c r="D873" s="56"/>
      <c r="E873" s="304"/>
      <c r="F873" s="8"/>
      <c r="G873" s="227"/>
    </row>
    <row r="874" ht="15.75" customHeight="1">
      <c r="A874" s="56"/>
      <c r="B874" s="56"/>
      <c r="C874" s="56"/>
      <c r="D874" s="56"/>
      <c r="E874" s="304"/>
      <c r="F874" s="8"/>
      <c r="G874" s="227"/>
    </row>
    <row r="875" ht="15.75" customHeight="1">
      <c r="A875" s="56"/>
      <c r="B875" s="56"/>
      <c r="C875" s="56"/>
      <c r="D875" s="56"/>
      <c r="E875" s="304"/>
      <c r="F875" s="8"/>
      <c r="G875" s="227"/>
    </row>
    <row r="876" ht="15.75" customHeight="1">
      <c r="A876" s="56"/>
      <c r="B876" s="56"/>
      <c r="C876" s="56"/>
      <c r="D876" s="56"/>
      <c r="E876" s="304"/>
      <c r="F876" s="8"/>
      <c r="G876" s="227"/>
    </row>
    <row r="877" ht="15.75" customHeight="1">
      <c r="A877" s="56"/>
      <c r="B877" s="56"/>
      <c r="C877" s="56"/>
      <c r="D877" s="56"/>
      <c r="E877" s="304"/>
      <c r="F877" s="8"/>
      <c r="G877" s="227"/>
    </row>
    <row r="878" ht="15.75" customHeight="1">
      <c r="A878" s="56"/>
      <c r="B878" s="56"/>
      <c r="C878" s="56"/>
      <c r="D878" s="56"/>
      <c r="E878" s="304"/>
      <c r="F878" s="8"/>
      <c r="G878" s="227"/>
    </row>
    <row r="879" ht="15.75" customHeight="1">
      <c r="A879" s="56"/>
      <c r="B879" s="56"/>
      <c r="C879" s="56"/>
      <c r="D879" s="56"/>
      <c r="E879" s="304"/>
      <c r="F879" s="8"/>
      <c r="G879" s="227"/>
    </row>
    <row r="880" ht="15.75" customHeight="1">
      <c r="A880" s="56"/>
      <c r="B880" s="56"/>
      <c r="C880" s="56"/>
      <c r="D880" s="56"/>
      <c r="E880" s="304"/>
      <c r="F880" s="8"/>
      <c r="G880" s="227"/>
    </row>
    <row r="881" ht="15.75" customHeight="1">
      <c r="A881" s="56"/>
      <c r="B881" s="56"/>
      <c r="C881" s="56"/>
      <c r="D881" s="56"/>
      <c r="E881" s="304"/>
      <c r="F881" s="8"/>
      <c r="G881" s="227"/>
    </row>
    <row r="882" ht="15.75" customHeight="1">
      <c r="A882" s="56"/>
      <c r="B882" s="56"/>
      <c r="C882" s="56"/>
      <c r="D882" s="56"/>
      <c r="E882" s="304"/>
      <c r="F882" s="8"/>
      <c r="G882" s="227"/>
    </row>
    <row r="883" ht="15.75" customHeight="1">
      <c r="A883" s="56"/>
      <c r="B883" s="56"/>
      <c r="C883" s="56"/>
      <c r="D883" s="56"/>
      <c r="E883" s="304"/>
      <c r="F883" s="8"/>
      <c r="G883" s="227"/>
    </row>
    <row r="884" ht="15.75" customHeight="1">
      <c r="A884" s="56"/>
      <c r="B884" s="56"/>
      <c r="C884" s="56"/>
      <c r="D884" s="56"/>
      <c r="E884" s="304"/>
      <c r="F884" s="8"/>
      <c r="G884" s="227"/>
    </row>
    <row r="885" ht="15.75" customHeight="1">
      <c r="A885" s="56"/>
      <c r="B885" s="56"/>
      <c r="C885" s="56"/>
      <c r="D885" s="56"/>
      <c r="E885" s="304"/>
      <c r="F885" s="8"/>
      <c r="G885" s="227"/>
    </row>
    <row r="886" ht="15.75" customHeight="1">
      <c r="A886" s="56"/>
      <c r="B886" s="56"/>
      <c r="C886" s="56"/>
      <c r="D886" s="56"/>
      <c r="E886" s="304"/>
      <c r="F886" s="8"/>
      <c r="G886" s="227"/>
    </row>
    <row r="887" ht="15.75" customHeight="1">
      <c r="A887" s="56"/>
      <c r="B887" s="56"/>
      <c r="C887" s="56"/>
      <c r="D887" s="56"/>
      <c r="E887" s="304"/>
      <c r="F887" s="8"/>
      <c r="G887" s="227"/>
    </row>
    <row r="888" ht="15.75" customHeight="1">
      <c r="A888" s="56"/>
      <c r="B888" s="56"/>
      <c r="C888" s="56"/>
      <c r="D888" s="56"/>
      <c r="E888" s="304"/>
      <c r="F888" s="8"/>
      <c r="G888" s="227"/>
    </row>
    <row r="889" ht="15.75" customHeight="1">
      <c r="A889" s="56"/>
      <c r="B889" s="56"/>
      <c r="C889" s="56"/>
      <c r="D889" s="56"/>
      <c r="E889" s="304"/>
      <c r="F889" s="8"/>
      <c r="G889" s="227"/>
    </row>
    <row r="890" ht="15.75" customHeight="1">
      <c r="A890" s="56"/>
      <c r="B890" s="56"/>
      <c r="C890" s="56"/>
      <c r="D890" s="56"/>
      <c r="E890" s="304"/>
      <c r="F890" s="8"/>
      <c r="G890" s="227"/>
    </row>
    <row r="891" ht="15.75" customHeight="1">
      <c r="A891" s="56"/>
      <c r="B891" s="56"/>
      <c r="C891" s="56"/>
      <c r="D891" s="56"/>
      <c r="E891" s="304"/>
      <c r="F891" s="8"/>
      <c r="G891" s="227"/>
    </row>
    <row r="892" ht="15.75" customHeight="1">
      <c r="A892" s="56"/>
      <c r="B892" s="56"/>
      <c r="C892" s="56"/>
      <c r="D892" s="56"/>
      <c r="E892" s="304"/>
      <c r="F892" s="8"/>
      <c r="G892" s="227"/>
    </row>
    <row r="893" ht="15.75" customHeight="1">
      <c r="A893" s="56"/>
      <c r="B893" s="56"/>
      <c r="C893" s="56"/>
      <c r="D893" s="56"/>
      <c r="E893" s="304"/>
      <c r="F893" s="8"/>
      <c r="G893" s="227"/>
    </row>
    <row r="894" ht="15.75" customHeight="1">
      <c r="A894" s="56"/>
      <c r="B894" s="56"/>
      <c r="C894" s="56"/>
      <c r="D894" s="56"/>
      <c r="E894" s="304"/>
      <c r="F894" s="8"/>
      <c r="G894" s="227"/>
    </row>
    <row r="895" ht="15.75" customHeight="1">
      <c r="A895" s="56"/>
      <c r="B895" s="56"/>
      <c r="C895" s="56"/>
      <c r="D895" s="56"/>
      <c r="E895" s="304"/>
      <c r="F895" s="8"/>
      <c r="G895" s="227"/>
    </row>
    <row r="896" ht="15.75" customHeight="1">
      <c r="A896" s="56"/>
      <c r="B896" s="56"/>
      <c r="C896" s="56"/>
      <c r="D896" s="56"/>
      <c r="E896" s="304"/>
      <c r="F896" s="8"/>
      <c r="G896" s="227"/>
    </row>
    <row r="897" ht="15.75" customHeight="1">
      <c r="A897" s="56"/>
      <c r="B897" s="56"/>
      <c r="C897" s="56"/>
      <c r="D897" s="56"/>
      <c r="E897" s="304"/>
      <c r="F897" s="8"/>
      <c r="G897" s="227"/>
    </row>
    <row r="898" ht="15.75" customHeight="1">
      <c r="A898" s="56"/>
      <c r="B898" s="56"/>
      <c r="C898" s="56"/>
      <c r="D898" s="56"/>
      <c r="E898" s="304"/>
      <c r="F898" s="8"/>
      <c r="G898" s="227"/>
    </row>
    <row r="899" ht="15.75" customHeight="1">
      <c r="A899" s="56"/>
      <c r="B899" s="56"/>
      <c r="C899" s="56"/>
      <c r="D899" s="56"/>
      <c r="E899" s="304"/>
      <c r="F899" s="8"/>
      <c r="G899" s="227"/>
    </row>
    <row r="900" ht="15.75" customHeight="1">
      <c r="A900" s="56"/>
      <c r="B900" s="56"/>
      <c r="C900" s="56"/>
      <c r="D900" s="56"/>
      <c r="E900" s="304"/>
      <c r="F900" s="8"/>
      <c r="G900" s="227"/>
    </row>
    <row r="901" ht="15.75" customHeight="1">
      <c r="A901" s="56"/>
      <c r="B901" s="56"/>
      <c r="C901" s="56"/>
      <c r="D901" s="56"/>
      <c r="E901" s="304"/>
      <c r="F901" s="8"/>
      <c r="G901" s="227"/>
    </row>
    <row r="902" ht="15.75" customHeight="1">
      <c r="A902" s="56"/>
      <c r="B902" s="56"/>
      <c r="C902" s="56"/>
      <c r="D902" s="56"/>
      <c r="E902" s="304"/>
      <c r="F902" s="8"/>
      <c r="G902" s="227"/>
    </row>
    <row r="903" ht="15.75" customHeight="1">
      <c r="A903" s="56"/>
      <c r="B903" s="56"/>
      <c r="C903" s="56"/>
      <c r="D903" s="56"/>
      <c r="E903" s="304"/>
      <c r="F903" s="8"/>
      <c r="G903" s="227"/>
    </row>
    <row r="904" ht="15.75" customHeight="1">
      <c r="A904" s="56"/>
      <c r="B904" s="56"/>
      <c r="C904" s="56"/>
      <c r="D904" s="56"/>
      <c r="E904" s="304"/>
      <c r="F904" s="8"/>
      <c r="G904" s="227"/>
    </row>
    <row r="905" ht="15.75" customHeight="1">
      <c r="A905" s="56"/>
      <c r="B905" s="56"/>
      <c r="C905" s="56"/>
      <c r="D905" s="56"/>
      <c r="E905" s="304"/>
      <c r="F905" s="8"/>
      <c r="G905" s="227"/>
    </row>
    <row r="906" ht="15.75" customHeight="1">
      <c r="A906" s="56"/>
      <c r="B906" s="56"/>
      <c r="C906" s="56"/>
      <c r="D906" s="56"/>
      <c r="E906" s="304"/>
      <c r="F906" s="8"/>
      <c r="G906" s="227"/>
    </row>
    <row r="907" ht="15.75" customHeight="1">
      <c r="A907" s="56"/>
      <c r="B907" s="56"/>
      <c r="C907" s="56"/>
      <c r="D907" s="56"/>
      <c r="E907" s="304"/>
      <c r="F907" s="8"/>
      <c r="G907" s="227"/>
    </row>
    <row r="908" ht="15.75" customHeight="1">
      <c r="A908" s="56"/>
      <c r="B908" s="56"/>
      <c r="C908" s="56"/>
      <c r="D908" s="56"/>
      <c r="E908" s="304"/>
      <c r="F908" s="8"/>
      <c r="G908" s="227"/>
    </row>
    <row r="909" ht="15.75" customHeight="1">
      <c r="A909" s="56"/>
      <c r="B909" s="56"/>
      <c r="C909" s="56"/>
      <c r="D909" s="56"/>
      <c r="E909" s="304"/>
      <c r="F909" s="8"/>
      <c r="G909" s="227"/>
    </row>
    <row r="910" ht="15.75" customHeight="1">
      <c r="A910" s="56"/>
      <c r="B910" s="56"/>
      <c r="C910" s="56"/>
      <c r="D910" s="56"/>
      <c r="E910" s="304"/>
      <c r="F910" s="8"/>
      <c r="G910" s="227"/>
    </row>
    <row r="911" ht="15.75" customHeight="1">
      <c r="A911" s="56"/>
      <c r="B911" s="56"/>
      <c r="C911" s="56"/>
      <c r="D911" s="56"/>
      <c r="E911" s="304"/>
      <c r="F911" s="8"/>
      <c r="G911" s="227"/>
    </row>
    <row r="912" ht="15.75" customHeight="1">
      <c r="A912" s="56"/>
      <c r="B912" s="56"/>
      <c r="C912" s="56"/>
      <c r="D912" s="56"/>
      <c r="E912" s="304"/>
      <c r="F912" s="8"/>
      <c r="G912" s="227"/>
    </row>
    <row r="913" ht="15.75" customHeight="1">
      <c r="A913" s="56"/>
      <c r="B913" s="56"/>
      <c r="C913" s="56"/>
      <c r="D913" s="56"/>
      <c r="E913" s="304"/>
      <c r="F913" s="8"/>
      <c r="G913" s="227"/>
    </row>
    <row r="914" ht="15.75" customHeight="1">
      <c r="A914" s="56"/>
      <c r="B914" s="56"/>
      <c r="C914" s="56"/>
      <c r="D914" s="56"/>
      <c r="E914" s="304"/>
      <c r="F914" s="8"/>
      <c r="G914" s="227"/>
    </row>
    <row r="915" ht="15.75" customHeight="1">
      <c r="A915" s="56"/>
      <c r="B915" s="56"/>
      <c r="C915" s="56"/>
      <c r="D915" s="56"/>
      <c r="E915" s="304"/>
      <c r="F915" s="8"/>
      <c r="G915" s="227"/>
    </row>
    <row r="916" ht="15.75" customHeight="1">
      <c r="A916" s="56"/>
      <c r="B916" s="56"/>
      <c r="C916" s="56"/>
      <c r="D916" s="56"/>
      <c r="E916" s="304"/>
      <c r="F916" s="8"/>
      <c r="G916" s="227"/>
    </row>
    <row r="917" ht="15.75" customHeight="1">
      <c r="A917" s="56"/>
      <c r="B917" s="56"/>
      <c r="C917" s="56"/>
      <c r="D917" s="56"/>
      <c r="E917" s="304"/>
      <c r="F917" s="8"/>
      <c r="G917" s="227"/>
    </row>
    <row r="918" ht="15.75" customHeight="1">
      <c r="A918" s="56"/>
      <c r="B918" s="56"/>
      <c r="C918" s="56"/>
      <c r="D918" s="56"/>
      <c r="E918" s="304"/>
      <c r="F918" s="8"/>
      <c r="G918" s="227"/>
    </row>
    <row r="919" ht="15.75" customHeight="1">
      <c r="A919" s="56"/>
      <c r="B919" s="56"/>
      <c r="C919" s="56"/>
      <c r="D919" s="56"/>
      <c r="E919" s="304"/>
      <c r="F919" s="8"/>
      <c r="G919" s="227"/>
    </row>
    <row r="920" ht="15.75" customHeight="1">
      <c r="A920" s="56"/>
      <c r="B920" s="56"/>
      <c r="C920" s="56"/>
      <c r="D920" s="56"/>
      <c r="E920" s="304"/>
      <c r="F920" s="8"/>
      <c r="G920" s="227"/>
    </row>
    <row r="921" ht="15.75" customHeight="1">
      <c r="A921" s="56"/>
      <c r="B921" s="56"/>
      <c r="C921" s="56"/>
      <c r="D921" s="56"/>
      <c r="E921" s="304"/>
      <c r="F921" s="8"/>
      <c r="G921" s="227"/>
    </row>
    <row r="922" ht="15.75" customHeight="1">
      <c r="A922" s="56"/>
      <c r="B922" s="56"/>
      <c r="C922" s="56"/>
      <c r="D922" s="56"/>
      <c r="E922" s="304"/>
      <c r="F922" s="8"/>
      <c r="G922" s="227"/>
    </row>
    <row r="923" ht="15.75" customHeight="1">
      <c r="A923" s="56"/>
      <c r="B923" s="56"/>
      <c r="C923" s="56"/>
      <c r="D923" s="56"/>
      <c r="E923" s="304"/>
      <c r="F923" s="8"/>
      <c r="G923" s="227"/>
    </row>
    <row r="924" ht="15.75" customHeight="1">
      <c r="A924" s="56"/>
      <c r="B924" s="56"/>
      <c r="C924" s="56"/>
      <c r="D924" s="56"/>
      <c r="E924" s="304"/>
      <c r="F924" s="8"/>
      <c r="G924" s="227"/>
    </row>
    <row r="925" ht="15.75" customHeight="1">
      <c r="A925" s="56"/>
      <c r="B925" s="56"/>
      <c r="C925" s="56"/>
      <c r="D925" s="56"/>
      <c r="E925" s="304"/>
      <c r="F925" s="8"/>
      <c r="G925" s="227"/>
    </row>
    <row r="926" ht="15.75" customHeight="1">
      <c r="A926" s="56"/>
      <c r="B926" s="56"/>
      <c r="C926" s="56"/>
      <c r="D926" s="56"/>
      <c r="E926" s="304"/>
      <c r="F926" s="8"/>
      <c r="G926" s="227"/>
    </row>
    <row r="927" ht="15.75" customHeight="1">
      <c r="A927" s="56"/>
      <c r="B927" s="56"/>
      <c r="C927" s="56"/>
      <c r="D927" s="56"/>
      <c r="E927" s="304"/>
      <c r="F927" s="8"/>
      <c r="G927" s="227"/>
    </row>
    <row r="928" ht="15.75" customHeight="1">
      <c r="A928" s="56"/>
      <c r="B928" s="56"/>
      <c r="C928" s="56"/>
      <c r="D928" s="56"/>
      <c r="E928" s="304"/>
      <c r="F928" s="8"/>
      <c r="G928" s="227"/>
    </row>
    <row r="929" ht="15.75" customHeight="1">
      <c r="A929" s="56"/>
      <c r="B929" s="56"/>
      <c r="C929" s="56"/>
      <c r="D929" s="56"/>
      <c r="E929" s="304"/>
      <c r="F929" s="8"/>
      <c r="G929" s="227"/>
    </row>
    <row r="930" ht="15.75" customHeight="1">
      <c r="A930" s="56"/>
      <c r="B930" s="56"/>
      <c r="C930" s="56"/>
      <c r="D930" s="56"/>
      <c r="E930" s="304"/>
      <c r="F930" s="8"/>
      <c r="G930" s="227"/>
    </row>
    <row r="931" ht="15.75" customHeight="1">
      <c r="A931" s="56"/>
      <c r="B931" s="56"/>
      <c r="C931" s="56"/>
      <c r="D931" s="56"/>
      <c r="E931" s="304"/>
      <c r="F931" s="8"/>
      <c r="G931" s="227"/>
    </row>
    <row r="932" ht="15.75" customHeight="1">
      <c r="A932" s="56"/>
      <c r="B932" s="56"/>
      <c r="C932" s="56"/>
      <c r="D932" s="56"/>
      <c r="E932" s="304"/>
      <c r="F932" s="8"/>
      <c r="G932" s="227"/>
    </row>
    <row r="933" ht="15.75" customHeight="1">
      <c r="A933" s="56"/>
      <c r="B933" s="56"/>
      <c r="C933" s="56"/>
      <c r="D933" s="56"/>
      <c r="E933" s="304"/>
      <c r="F933" s="8"/>
      <c r="G933" s="227"/>
    </row>
    <row r="934" ht="15.75" customHeight="1">
      <c r="A934" s="56"/>
      <c r="B934" s="56"/>
      <c r="C934" s="56"/>
      <c r="D934" s="56"/>
      <c r="E934" s="304"/>
      <c r="F934" s="8"/>
      <c r="G934" s="227"/>
    </row>
    <row r="935" ht="15.75" customHeight="1">
      <c r="A935" s="56"/>
      <c r="B935" s="56"/>
      <c r="C935" s="56"/>
      <c r="D935" s="56"/>
      <c r="E935" s="304"/>
      <c r="F935" s="8"/>
      <c r="G935" s="227"/>
    </row>
    <row r="936" ht="15.75" customHeight="1">
      <c r="A936" s="56"/>
      <c r="B936" s="56"/>
      <c r="C936" s="56"/>
      <c r="D936" s="56"/>
      <c r="E936" s="304"/>
      <c r="F936" s="8"/>
      <c r="G936" s="227"/>
    </row>
    <row r="937" ht="15.75" customHeight="1">
      <c r="A937" s="56"/>
      <c r="B937" s="56"/>
      <c r="C937" s="56"/>
      <c r="D937" s="56"/>
      <c r="E937" s="304"/>
      <c r="F937" s="8"/>
      <c r="G937" s="227"/>
    </row>
    <row r="938" ht="15.75" customHeight="1">
      <c r="A938" s="56"/>
      <c r="B938" s="56"/>
      <c r="C938" s="56"/>
      <c r="D938" s="56"/>
      <c r="E938" s="304"/>
      <c r="F938" s="8"/>
      <c r="G938" s="227"/>
    </row>
    <row r="939" ht="15.75" customHeight="1">
      <c r="A939" s="56"/>
      <c r="B939" s="56"/>
      <c r="C939" s="56"/>
      <c r="D939" s="56"/>
      <c r="E939" s="304"/>
      <c r="F939" s="8"/>
      <c r="G939" s="227"/>
    </row>
    <row r="940" ht="15.75" customHeight="1">
      <c r="A940" s="56"/>
      <c r="B940" s="56"/>
      <c r="C940" s="56"/>
      <c r="D940" s="56"/>
      <c r="E940" s="304"/>
      <c r="F940" s="8"/>
      <c r="G940" s="227"/>
    </row>
    <row r="941" ht="15.75" customHeight="1">
      <c r="A941" s="56"/>
      <c r="B941" s="56"/>
      <c r="C941" s="56"/>
      <c r="D941" s="56"/>
      <c r="E941" s="304"/>
      <c r="F941" s="8"/>
      <c r="G941" s="227"/>
    </row>
    <row r="942" ht="15.75" customHeight="1">
      <c r="A942" s="56"/>
      <c r="B942" s="56"/>
      <c r="C942" s="56"/>
      <c r="D942" s="56"/>
      <c r="E942" s="304"/>
      <c r="F942" s="8"/>
      <c r="G942" s="227"/>
    </row>
    <row r="943" ht="15.75" customHeight="1">
      <c r="A943" s="56"/>
      <c r="B943" s="56"/>
      <c r="C943" s="56"/>
      <c r="D943" s="56"/>
      <c r="E943" s="304"/>
      <c r="F943" s="8"/>
      <c r="G943" s="227"/>
    </row>
    <row r="944" ht="15.75" customHeight="1">
      <c r="A944" s="56"/>
      <c r="B944" s="56"/>
      <c r="C944" s="56"/>
      <c r="D944" s="56"/>
      <c r="E944" s="304"/>
      <c r="F944" s="8"/>
      <c r="G944" s="227"/>
    </row>
    <row r="945" ht="15.75" customHeight="1">
      <c r="A945" s="56"/>
      <c r="B945" s="56"/>
      <c r="C945" s="56"/>
      <c r="D945" s="56"/>
      <c r="E945" s="304"/>
      <c r="F945" s="8"/>
      <c r="G945" s="227"/>
    </row>
    <row r="946" ht="15.75" customHeight="1">
      <c r="A946" s="56"/>
      <c r="B946" s="56"/>
      <c r="C946" s="56"/>
      <c r="D946" s="56"/>
      <c r="E946" s="304"/>
      <c r="F946" s="8"/>
      <c r="G946" s="227"/>
    </row>
    <row r="947" ht="15.75" customHeight="1">
      <c r="A947" s="56"/>
      <c r="B947" s="56"/>
      <c r="C947" s="56"/>
      <c r="D947" s="56"/>
      <c r="E947" s="304"/>
      <c r="F947" s="8"/>
      <c r="G947" s="227"/>
    </row>
    <row r="948" ht="15.75" customHeight="1">
      <c r="A948" s="56"/>
      <c r="B948" s="56"/>
      <c r="C948" s="56"/>
      <c r="D948" s="56"/>
      <c r="E948" s="304"/>
      <c r="F948" s="8"/>
      <c r="G948" s="227"/>
    </row>
    <row r="949" ht="15.75" customHeight="1">
      <c r="A949" s="56"/>
      <c r="B949" s="56"/>
      <c r="C949" s="56"/>
      <c r="D949" s="56"/>
      <c r="E949" s="304"/>
      <c r="F949" s="8"/>
      <c r="G949" s="227"/>
    </row>
    <row r="950" ht="15.75" customHeight="1">
      <c r="A950" s="56"/>
      <c r="B950" s="56"/>
      <c r="C950" s="56"/>
      <c r="D950" s="56"/>
      <c r="E950" s="304"/>
      <c r="F950" s="8"/>
      <c r="G950" s="227"/>
    </row>
    <row r="951" ht="15.75" customHeight="1">
      <c r="A951" s="56"/>
      <c r="B951" s="56"/>
      <c r="C951" s="56"/>
      <c r="D951" s="56"/>
      <c r="E951" s="304"/>
      <c r="F951" s="8"/>
      <c r="G951" s="227"/>
    </row>
    <row r="952" ht="15.75" customHeight="1">
      <c r="A952" s="56"/>
      <c r="B952" s="56"/>
      <c r="C952" s="56"/>
      <c r="D952" s="56"/>
      <c r="E952" s="304"/>
      <c r="F952" s="8"/>
      <c r="G952" s="227"/>
    </row>
    <row r="953" ht="15.75" customHeight="1">
      <c r="A953" s="56"/>
      <c r="B953" s="56"/>
      <c r="C953" s="56"/>
      <c r="D953" s="56"/>
      <c r="E953" s="304"/>
      <c r="F953" s="8"/>
      <c r="G953" s="227"/>
    </row>
    <row r="954" ht="15.75" customHeight="1">
      <c r="A954" s="56"/>
      <c r="B954" s="56"/>
      <c r="C954" s="56"/>
      <c r="D954" s="56"/>
      <c r="E954" s="304"/>
      <c r="F954" s="8"/>
      <c r="G954" s="227"/>
    </row>
    <row r="955" ht="15.75" customHeight="1">
      <c r="A955" s="56"/>
      <c r="B955" s="56"/>
      <c r="C955" s="56"/>
      <c r="D955" s="56"/>
      <c r="E955" s="304"/>
      <c r="F955" s="8"/>
      <c r="G955" s="227"/>
    </row>
    <row r="956" ht="15.75" customHeight="1">
      <c r="A956" s="56"/>
      <c r="B956" s="56"/>
      <c r="C956" s="56"/>
      <c r="D956" s="56"/>
      <c r="E956" s="304"/>
      <c r="F956" s="8"/>
      <c r="G956" s="227"/>
    </row>
    <row r="957" ht="15.75" customHeight="1">
      <c r="A957" s="56"/>
      <c r="B957" s="56"/>
      <c r="C957" s="56"/>
      <c r="D957" s="56"/>
      <c r="E957" s="304"/>
      <c r="F957" s="8"/>
      <c r="G957" s="227"/>
    </row>
    <row r="958" ht="15.75" customHeight="1">
      <c r="A958" s="56"/>
      <c r="B958" s="56"/>
      <c r="C958" s="56"/>
      <c r="D958" s="56"/>
      <c r="E958" s="304"/>
      <c r="F958" s="8"/>
      <c r="G958" s="227"/>
    </row>
    <row r="959" ht="15.75" customHeight="1">
      <c r="A959" s="56"/>
      <c r="B959" s="56"/>
      <c r="C959" s="56"/>
      <c r="D959" s="56"/>
      <c r="E959" s="304"/>
      <c r="F959" s="8"/>
      <c r="G959" s="227"/>
    </row>
    <row r="960" ht="15.75" customHeight="1">
      <c r="A960" s="56"/>
      <c r="B960" s="56"/>
      <c r="C960" s="56"/>
      <c r="D960" s="56"/>
      <c r="E960" s="304"/>
      <c r="F960" s="8"/>
      <c r="G960" s="227"/>
    </row>
    <row r="961" ht="15.75" customHeight="1">
      <c r="A961" s="56"/>
      <c r="B961" s="56"/>
      <c r="C961" s="56"/>
      <c r="D961" s="56"/>
      <c r="E961" s="304"/>
      <c r="F961" s="8"/>
      <c r="G961" s="227"/>
    </row>
    <row r="962" ht="15.75" customHeight="1">
      <c r="A962" s="56"/>
      <c r="B962" s="56"/>
      <c r="C962" s="56"/>
      <c r="D962" s="56"/>
      <c r="E962" s="304"/>
      <c r="F962" s="8"/>
      <c r="G962" s="227"/>
    </row>
    <row r="963" ht="15.75" customHeight="1">
      <c r="A963" s="56"/>
      <c r="B963" s="56"/>
      <c r="C963" s="56"/>
      <c r="D963" s="56"/>
      <c r="E963" s="304"/>
      <c r="F963" s="8"/>
      <c r="G963" s="227"/>
    </row>
    <row r="964" ht="15.75" customHeight="1">
      <c r="A964" s="56"/>
      <c r="B964" s="56"/>
      <c r="C964" s="56"/>
      <c r="D964" s="56"/>
      <c r="E964" s="304"/>
      <c r="F964" s="8"/>
      <c r="G964" s="227"/>
    </row>
    <row r="965" ht="15.75" customHeight="1">
      <c r="A965" s="56"/>
      <c r="B965" s="56"/>
      <c r="C965" s="56"/>
      <c r="D965" s="56"/>
      <c r="E965" s="304"/>
      <c r="F965" s="8"/>
      <c r="G965" s="227"/>
    </row>
    <row r="966" ht="15.75" customHeight="1">
      <c r="A966" s="56"/>
      <c r="B966" s="56"/>
      <c r="C966" s="56"/>
      <c r="D966" s="56"/>
      <c r="E966" s="304"/>
      <c r="F966" s="8"/>
      <c r="G966" s="227"/>
    </row>
    <row r="967" ht="15.75" customHeight="1">
      <c r="A967" s="56"/>
      <c r="B967" s="56"/>
      <c r="C967" s="56"/>
      <c r="D967" s="56"/>
      <c r="E967" s="304"/>
      <c r="F967" s="8"/>
      <c r="G967" s="227"/>
    </row>
    <row r="968" ht="15.75" customHeight="1">
      <c r="A968" s="56"/>
      <c r="B968" s="56"/>
      <c r="C968" s="56"/>
      <c r="D968" s="56"/>
      <c r="E968" s="304"/>
      <c r="F968" s="8"/>
      <c r="G968" s="227"/>
    </row>
    <row r="969" ht="15.75" customHeight="1">
      <c r="A969" s="56"/>
      <c r="B969" s="56"/>
      <c r="C969" s="56"/>
      <c r="D969" s="56"/>
      <c r="E969" s="304"/>
      <c r="F969" s="8"/>
      <c r="G969" s="227"/>
    </row>
    <row r="970" ht="15.75" customHeight="1">
      <c r="A970" s="56"/>
      <c r="B970" s="56"/>
      <c r="C970" s="56"/>
      <c r="D970" s="56"/>
      <c r="E970" s="304"/>
      <c r="F970" s="8"/>
      <c r="G970" s="227"/>
    </row>
    <row r="971" ht="15.75" customHeight="1">
      <c r="A971" s="56"/>
      <c r="B971" s="56"/>
      <c r="C971" s="56"/>
      <c r="D971" s="56"/>
      <c r="E971" s="304"/>
      <c r="F971" s="8"/>
      <c r="G971" s="227"/>
    </row>
    <row r="972" ht="15.75" customHeight="1">
      <c r="A972" s="56"/>
      <c r="B972" s="56"/>
      <c r="C972" s="56"/>
      <c r="D972" s="56"/>
      <c r="E972" s="304"/>
      <c r="F972" s="8"/>
      <c r="G972" s="227"/>
    </row>
    <row r="973" ht="15.75" customHeight="1">
      <c r="A973" s="56"/>
      <c r="B973" s="56"/>
      <c r="C973" s="56"/>
      <c r="D973" s="56"/>
      <c r="E973" s="304"/>
      <c r="F973" s="8"/>
      <c r="G973" s="227"/>
    </row>
    <row r="974" ht="15.75" customHeight="1">
      <c r="A974" s="56"/>
      <c r="B974" s="56"/>
      <c r="C974" s="56"/>
      <c r="D974" s="56"/>
      <c r="E974" s="304"/>
      <c r="F974" s="8"/>
      <c r="G974" s="227"/>
    </row>
    <row r="975" ht="15.75" customHeight="1">
      <c r="A975" s="56"/>
      <c r="B975" s="56"/>
      <c r="C975" s="56"/>
      <c r="D975" s="56"/>
      <c r="E975" s="304"/>
      <c r="F975" s="8"/>
      <c r="G975" s="227"/>
    </row>
    <row r="976" ht="15.75" customHeight="1">
      <c r="A976" s="56"/>
      <c r="B976" s="56"/>
      <c r="C976" s="56"/>
      <c r="D976" s="56"/>
      <c r="E976" s="304"/>
      <c r="F976" s="8"/>
      <c r="G976" s="227"/>
    </row>
    <row r="977" ht="15.75" customHeight="1">
      <c r="A977" s="56"/>
      <c r="B977" s="56"/>
      <c r="C977" s="56"/>
      <c r="D977" s="56"/>
      <c r="E977" s="304"/>
      <c r="F977" s="8"/>
      <c r="G977" s="227"/>
    </row>
    <row r="978" ht="15.75" customHeight="1">
      <c r="A978" s="56"/>
      <c r="B978" s="56"/>
      <c r="C978" s="56"/>
      <c r="D978" s="56"/>
      <c r="E978" s="304"/>
      <c r="F978" s="8"/>
      <c r="G978" s="227"/>
    </row>
    <row r="979" ht="15.75" customHeight="1">
      <c r="A979" s="56"/>
      <c r="B979" s="56"/>
      <c r="C979" s="56"/>
      <c r="D979" s="56"/>
      <c r="E979" s="304"/>
      <c r="F979" s="8"/>
      <c r="G979" s="227"/>
    </row>
    <row r="980" ht="15.75" customHeight="1">
      <c r="A980" s="56"/>
      <c r="B980" s="56"/>
      <c r="C980" s="56"/>
      <c r="D980" s="56"/>
      <c r="E980" s="304"/>
      <c r="F980" s="8"/>
      <c r="G980" s="227"/>
    </row>
    <row r="981" ht="15.75" customHeight="1">
      <c r="A981" s="56"/>
      <c r="B981" s="56"/>
      <c r="C981" s="56"/>
      <c r="D981" s="56"/>
      <c r="E981" s="304"/>
      <c r="F981" s="8"/>
      <c r="G981" s="227"/>
    </row>
    <row r="982" ht="15.75" customHeight="1">
      <c r="A982" s="56"/>
      <c r="B982" s="56"/>
      <c r="C982" s="56"/>
      <c r="D982" s="56"/>
      <c r="E982" s="304"/>
      <c r="F982" s="8"/>
      <c r="G982" s="227"/>
    </row>
    <row r="983" ht="15.75" customHeight="1">
      <c r="A983" s="56"/>
      <c r="B983" s="56"/>
      <c r="C983" s="56"/>
      <c r="D983" s="56"/>
      <c r="E983" s="304"/>
      <c r="F983" s="8"/>
      <c r="G983" s="227"/>
    </row>
    <row r="984" ht="15.75" customHeight="1">
      <c r="A984" s="56"/>
      <c r="B984" s="56"/>
      <c r="C984" s="56"/>
      <c r="D984" s="56"/>
      <c r="E984" s="304"/>
      <c r="F984" s="8"/>
      <c r="G984" s="227"/>
    </row>
    <row r="985" ht="15.75" customHeight="1">
      <c r="A985" s="56"/>
      <c r="B985" s="56"/>
      <c r="C985" s="56"/>
      <c r="D985" s="56"/>
      <c r="E985" s="304"/>
      <c r="F985" s="8"/>
      <c r="G985" s="227"/>
    </row>
    <row r="986" ht="15.75" customHeight="1">
      <c r="A986" s="56"/>
      <c r="B986" s="56"/>
      <c r="C986" s="56"/>
      <c r="D986" s="56"/>
      <c r="E986" s="304"/>
      <c r="F986" s="8"/>
      <c r="G986" s="227"/>
    </row>
    <row r="987" ht="15.75" customHeight="1">
      <c r="A987" s="56"/>
      <c r="B987" s="56"/>
      <c r="C987" s="56"/>
      <c r="D987" s="56"/>
      <c r="E987" s="304"/>
      <c r="F987" s="8"/>
      <c r="G987" s="227"/>
    </row>
    <row r="988" ht="15.75" customHeight="1">
      <c r="A988" s="56"/>
      <c r="B988" s="56"/>
      <c r="C988" s="56"/>
      <c r="D988" s="56"/>
      <c r="E988" s="304"/>
      <c r="F988" s="8"/>
      <c r="G988" s="227"/>
    </row>
    <row r="989" ht="15.75" customHeight="1">
      <c r="A989" s="56"/>
      <c r="B989" s="56"/>
      <c r="C989" s="56"/>
      <c r="D989" s="56"/>
      <c r="E989" s="304"/>
      <c r="F989" s="8"/>
      <c r="G989" s="227"/>
    </row>
    <row r="990" ht="15.75" customHeight="1">
      <c r="A990" s="56"/>
      <c r="B990" s="56"/>
      <c r="C990" s="56"/>
      <c r="D990" s="56"/>
      <c r="E990" s="304"/>
      <c r="F990" s="8"/>
      <c r="G990" s="227"/>
    </row>
    <row r="991" ht="15.75" customHeight="1">
      <c r="A991" s="56"/>
      <c r="B991" s="56"/>
      <c r="C991" s="56"/>
      <c r="D991" s="56"/>
      <c r="E991" s="304"/>
      <c r="F991" s="8"/>
      <c r="G991" s="227"/>
    </row>
    <row r="992" ht="15.75" customHeight="1">
      <c r="A992" s="56"/>
      <c r="B992" s="56"/>
      <c r="C992" s="56"/>
      <c r="D992" s="56"/>
      <c r="E992" s="304"/>
      <c r="F992" s="8"/>
      <c r="G992" s="227"/>
    </row>
    <row r="993" ht="15.75" customHeight="1">
      <c r="A993" s="56"/>
      <c r="B993" s="56"/>
      <c r="C993" s="56"/>
      <c r="D993" s="56"/>
      <c r="E993" s="304"/>
      <c r="F993" s="8"/>
      <c r="G993" s="227"/>
    </row>
    <row r="994" ht="15.75" customHeight="1">
      <c r="A994" s="56"/>
      <c r="B994" s="56"/>
      <c r="C994" s="56"/>
      <c r="D994" s="56"/>
      <c r="E994" s="304"/>
      <c r="F994" s="8"/>
      <c r="G994" s="227"/>
    </row>
    <row r="995" ht="15.75" customHeight="1">
      <c r="A995" s="56"/>
      <c r="B995" s="56"/>
      <c r="C995" s="56"/>
      <c r="D995" s="56"/>
      <c r="E995" s="304"/>
      <c r="F995" s="8"/>
      <c r="G995" s="227"/>
    </row>
    <row r="996" ht="15.75" customHeight="1">
      <c r="A996" s="56"/>
      <c r="B996" s="56"/>
      <c r="C996" s="56"/>
      <c r="D996" s="56"/>
      <c r="E996" s="304"/>
      <c r="F996" s="8"/>
      <c r="G996" s="227"/>
    </row>
    <row r="997" ht="15.75" customHeight="1">
      <c r="A997" s="56"/>
      <c r="B997" s="56"/>
      <c r="C997" s="56"/>
      <c r="D997" s="56"/>
      <c r="E997" s="304"/>
      <c r="F997" s="8"/>
      <c r="G997" s="227"/>
    </row>
    <row r="998" ht="15.75" customHeight="1">
      <c r="A998" s="56"/>
      <c r="B998" s="56"/>
      <c r="C998" s="56"/>
      <c r="D998" s="56"/>
      <c r="E998" s="304"/>
      <c r="F998" s="8"/>
      <c r="G998" s="227"/>
    </row>
    <row r="999" ht="15.75" customHeight="1">
      <c r="A999" s="56"/>
      <c r="B999" s="56"/>
      <c r="C999" s="56"/>
      <c r="D999" s="56"/>
      <c r="E999" s="304"/>
      <c r="F999" s="8"/>
      <c r="G999" s="227"/>
    </row>
    <row r="1000" ht="15.75" customHeight="1">
      <c r="A1000" s="56"/>
      <c r="B1000" s="56"/>
      <c r="C1000" s="56"/>
      <c r="D1000" s="56"/>
      <c r="E1000" s="304"/>
      <c r="F1000" s="8"/>
      <c r="G1000" s="227"/>
    </row>
  </sheetData>
  <conditionalFormatting sqref="B5">
    <cfRule type="cellIs" dxfId="0" priority="1" operator="equal">
      <formula>$B$7</formula>
    </cfRule>
  </conditionalFormatting>
  <conditionalFormatting sqref="B5">
    <cfRule type="cellIs" dxfId="1" priority="2" operator="equal">
      <formula>$B$8</formula>
    </cfRule>
  </conditionalFormatting>
  <conditionalFormatting sqref="B5">
    <cfRule type="cellIs" dxfId="2" priority="3" operator="equal">
      <formula>$B$9</formula>
    </cfRule>
  </conditionalFormatting>
  <conditionalFormatting sqref="B5">
    <cfRule type="cellIs" dxfId="3" priority="4" operator="equal">
      <formula>$B$10</formula>
    </cfRule>
  </conditionalFormatting>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2.43"/>
    <col customWidth="1" min="2" max="3" width="14.29"/>
    <col customWidth="1" min="4" max="4" width="11.43"/>
    <col customWidth="1" min="5" max="6" width="8.86"/>
    <col customWidth="1" min="7" max="7" width="13.86"/>
    <col customWidth="1" min="8" max="8" width="10.43"/>
    <col customWidth="1" min="9" max="9" width="11.43"/>
    <col customWidth="1" min="10" max="10" width="10.43"/>
    <col customWidth="1" min="11" max="11" width="11.14"/>
    <col customWidth="1" min="12" max="12" width="12.14"/>
    <col customWidth="1" min="13" max="13" width="10.43"/>
    <col customWidth="1" min="14" max="26" width="8.86"/>
  </cols>
  <sheetData>
    <row r="1">
      <c r="A1" s="11" t="s">
        <v>449</v>
      </c>
      <c r="B1" s="11"/>
      <c r="C1" s="11"/>
      <c r="D1" s="11"/>
      <c r="E1" s="11"/>
      <c r="F1" s="11"/>
      <c r="G1" s="11"/>
      <c r="H1" s="11"/>
      <c r="I1" s="11"/>
      <c r="J1" s="11"/>
      <c r="K1" s="11"/>
      <c r="L1" s="11"/>
      <c r="M1" s="11"/>
      <c r="N1" s="11"/>
      <c r="O1" s="11"/>
      <c r="P1" s="11"/>
      <c r="Q1" s="11"/>
      <c r="R1" s="11"/>
      <c r="S1" s="11"/>
      <c r="T1" s="11"/>
      <c r="U1" s="11"/>
      <c r="V1" s="11"/>
      <c r="W1" s="11"/>
      <c r="X1" s="11"/>
      <c r="Y1" s="11"/>
      <c r="Z1" s="11"/>
    </row>
    <row r="2">
      <c r="A2" s="68" t="s">
        <v>450</v>
      </c>
    </row>
    <row r="3">
      <c r="C3" s="68">
        <v>2035000.0</v>
      </c>
    </row>
    <row r="4">
      <c r="A4" s="385" t="s">
        <v>451</v>
      </c>
      <c r="B4" s="385" t="s">
        <v>452</v>
      </c>
      <c r="C4" s="385" t="s">
        <v>453</v>
      </c>
      <c r="D4" s="385" t="s">
        <v>454</v>
      </c>
      <c r="E4" s="387" t="s">
        <v>126</v>
      </c>
      <c r="G4" s="385"/>
    </row>
    <row r="5">
      <c r="A5" s="388">
        <v>895.0</v>
      </c>
      <c r="B5" s="389">
        <v>0.0</v>
      </c>
      <c r="C5" s="389">
        <f t="shared" ref="C5:C676" si="1">B5+$C$3</f>
        <v>2035000</v>
      </c>
      <c r="D5" s="389">
        <v>30172.0000001</v>
      </c>
      <c r="E5" s="8">
        <v>1.0</v>
      </c>
      <c r="H5" s="388">
        <f t="shared" ref="H5:H676" si="2">A5</f>
        <v>895</v>
      </c>
    </row>
    <row r="6">
      <c r="A6" s="388">
        <v>895.5</v>
      </c>
      <c r="B6" s="389">
        <v>15111.0</v>
      </c>
      <c r="C6" s="389">
        <f t="shared" si="1"/>
        <v>2050111</v>
      </c>
      <c r="D6" s="389">
        <v>30270.0</v>
      </c>
      <c r="E6" s="8">
        <v>2.0</v>
      </c>
      <c r="H6" s="388">
        <f t="shared" si="2"/>
        <v>895.5</v>
      </c>
    </row>
    <row r="7">
      <c r="A7" s="388">
        <v>896.0</v>
      </c>
      <c r="B7" s="389">
        <v>30270.0</v>
      </c>
      <c r="C7" s="389">
        <f t="shared" si="1"/>
        <v>2065270</v>
      </c>
      <c r="D7" s="389">
        <v>30367.9999999</v>
      </c>
      <c r="E7" s="8">
        <v>3.0</v>
      </c>
      <c r="H7" s="388">
        <f t="shared" si="2"/>
        <v>896</v>
      </c>
    </row>
    <row r="8">
      <c r="A8" s="388">
        <v>896.5</v>
      </c>
      <c r="B8" s="389">
        <v>45479.0</v>
      </c>
      <c r="C8" s="389">
        <f t="shared" si="1"/>
        <v>2080479</v>
      </c>
      <c r="D8" s="389">
        <v>30466.0</v>
      </c>
      <c r="E8" s="8">
        <v>4.0</v>
      </c>
      <c r="H8" s="388">
        <f t="shared" si="2"/>
        <v>896.5</v>
      </c>
    </row>
    <row r="9">
      <c r="A9" s="388">
        <v>897.0</v>
      </c>
      <c r="B9" s="300">
        <v>60736.0</v>
      </c>
      <c r="C9" s="389">
        <f t="shared" si="1"/>
        <v>2095736</v>
      </c>
      <c r="D9" s="389">
        <v>30563.9999999</v>
      </c>
      <c r="E9" s="8">
        <v>5.0</v>
      </c>
      <c r="H9" s="388">
        <f t="shared" si="2"/>
        <v>897</v>
      </c>
    </row>
    <row r="10">
      <c r="A10" s="388">
        <v>897.5</v>
      </c>
      <c r="B10" s="300">
        <v>76043.0</v>
      </c>
      <c r="C10" s="389">
        <f t="shared" si="1"/>
        <v>2111043</v>
      </c>
      <c r="D10" s="389">
        <v>30662.0000001</v>
      </c>
      <c r="E10" s="8">
        <v>6.0</v>
      </c>
      <c r="H10" s="388">
        <f t="shared" si="2"/>
        <v>897.5</v>
      </c>
    </row>
    <row r="11">
      <c r="A11" s="388">
        <v>898.0</v>
      </c>
      <c r="B11" s="389">
        <v>91397.9999999</v>
      </c>
      <c r="C11" s="389">
        <f t="shared" si="1"/>
        <v>2126398</v>
      </c>
      <c r="D11" s="389">
        <v>30760.0</v>
      </c>
      <c r="E11" s="8">
        <v>7.0</v>
      </c>
      <c r="H11" s="388">
        <f t="shared" si="2"/>
        <v>898</v>
      </c>
    </row>
    <row r="12">
      <c r="A12" s="388">
        <v>898.5</v>
      </c>
      <c r="B12" s="389">
        <v>106803.0</v>
      </c>
      <c r="C12" s="389">
        <f t="shared" si="1"/>
        <v>2141803</v>
      </c>
      <c r="D12" s="389">
        <v>30857.9999999</v>
      </c>
      <c r="E12" s="8">
        <v>8.0</v>
      </c>
      <c r="H12" s="388">
        <f t="shared" si="2"/>
        <v>898.5</v>
      </c>
    </row>
    <row r="13">
      <c r="A13" s="388">
        <v>899.0</v>
      </c>
      <c r="B13" s="389">
        <v>122257.0</v>
      </c>
      <c r="C13" s="389">
        <f t="shared" si="1"/>
        <v>2157257</v>
      </c>
      <c r="D13" s="389">
        <v>30956.0</v>
      </c>
      <c r="E13" s="8">
        <v>9.0</v>
      </c>
      <c r="H13" s="388">
        <f t="shared" si="2"/>
        <v>899</v>
      </c>
      <c r="I13" s="389"/>
      <c r="J13" s="389"/>
      <c r="K13" s="389"/>
      <c r="L13" s="389"/>
      <c r="M13" s="389"/>
    </row>
    <row r="14">
      <c r="A14" s="388">
        <v>899.5</v>
      </c>
      <c r="B14" s="389">
        <v>137759.0</v>
      </c>
      <c r="C14" s="389">
        <f t="shared" si="1"/>
        <v>2172759</v>
      </c>
      <c r="D14" s="389">
        <v>31053.9999999</v>
      </c>
      <c r="E14" s="8">
        <v>10.0</v>
      </c>
      <c r="H14" s="388">
        <f t="shared" si="2"/>
        <v>899.5</v>
      </c>
    </row>
    <row r="15">
      <c r="A15" s="388">
        <v>900.0</v>
      </c>
      <c r="B15" s="389">
        <v>153311.0</v>
      </c>
      <c r="C15" s="389">
        <f t="shared" si="1"/>
        <v>2188311</v>
      </c>
      <c r="D15" s="389">
        <v>31152.0000001</v>
      </c>
      <c r="E15" s="8">
        <v>11.0</v>
      </c>
      <c r="H15" s="388">
        <f t="shared" si="2"/>
        <v>900</v>
      </c>
    </row>
    <row r="16">
      <c r="A16" s="388">
        <v>900.5</v>
      </c>
      <c r="B16" s="389">
        <v>168917.0</v>
      </c>
      <c r="C16" s="389">
        <f t="shared" si="1"/>
        <v>2203917</v>
      </c>
      <c r="D16" s="389">
        <v>31273.0000001</v>
      </c>
      <c r="E16" s="8">
        <v>12.0</v>
      </c>
      <c r="H16" s="388">
        <f t="shared" si="2"/>
        <v>900.5</v>
      </c>
    </row>
    <row r="17">
      <c r="A17" s="388">
        <v>901.0</v>
      </c>
      <c r="B17" s="389">
        <v>184584.0</v>
      </c>
      <c r="C17" s="389">
        <f t="shared" si="1"/>
        <v>2219584</v>
      </c>
      <c r="D17" s="389">
        <v>31394.0</v>
      </c>
      <c r="E17" s="8">
        <v>13.0</v>
      </c>
      <c r="H17" s="388">
        <f t="shared" si="2"/>
        <v>901</v>
      </c>
    </row>
    <row r="18">
      <c r="A18" s="388">
        <v>901.5</v>
      </c>
      <c r="B18" s="389">
        <v>200311.0</v>
      </c>
      <c r="C18" s="389">
        <f t="shared" si="1"/>
        <v>2235311</v>
      </c>
      <c r="D18" s="389">
        <v>31514.0000001</v>
      </c>
      <c r="E18" s="8">
        <v>14.0</v>
      </c>
      <c r="H18" s="388">
        <f t="shared" si="2"/>
        <v>901.5</v>
      </c>
    </row>
    <row r="19">
      <c r="A19" s="388">
        <v>902.0</v>
      </c>
      <c r="B19" s="389">
        <v>216098.0</v>
      </c>
      <c r="C19" s="389">
        <f t="shared" si="1"/>
        <v>2251098</v>
      </c>
      <c r="D19" s="389">
        <v>31635.0000001</v>
      </c>
      <c r="E19" s="8">
        <v>15.0</v>
      </c>
      <c r="H19" s="388">
        <f t="shared" si="2"/>
        <v>902</v>
      </c>
    </row>
    <row r="20">
      <c r="A20" s="388">
        <v>902.5</v>
      </c>
      <c r="B20" s="389">
        <v>231946.0</v>
      </c>
      <c r="C20" s="389">
        <f t="shared" si="1"/>
        <v>2266946</v>
      </c>
      <c r="D20" s="389">
        <v>31754.9999999</v>
      </c>
      <c r="E20" s="8">
        <v>16.0</v>
      </c>
      <c r="H20" s="388">
        <f t="shared" si="2"/>
        <v>902.5</v>
      </c>
    </row>
    <row r="21" ht="15.75" customHeight="1">
      <c r="A21" s="388">
        <v>903.0</v>
      </c>
      <c r="B21" s="389">
        <v>247854.0</v>
      </c>
      <c r="C21" s="389">
        <f t="shared" si="1"/>
        <v>2282854</v>
      </c>
      <c r="D21" s="389">
        <v>31875.9999999</v>
      </c>
      <c r="E21" s="8">
        <v>17.0</v>
      </c>
      <c r="H21" s="388">
        <f t="shared" si="2"/>
        <v>903</v>
      </c>
    </row>
    <row r="22" ht="15.75" customHeight="1">
      <c r="A22" s="388">
        <v>903.5</v>
      </c>
      <c r="B22" s="389">
        <v>263822.0</v>
      </c>
      <c r="C22" s="389">
        <f t="shared" si="1"/>
        <v>2298822</v>
      </c>
      <c r="D22" s="389">
        <v>31997.0000001</v>
      </c>
      <c r="E22" s="8">
        <v>18.0</v>
      </c>
      <c r="H22" s="388">
        <f t="shared" si="2"/>
        <v>903.5</v>
      </c>
    </row>
    <row r="23" ht="15.75" customHeight="1">
      <c r="A23" s="388">
        <v>904.0</v>
      </c>
      <c r="B23" s="389">
        <v>279851.0</v>
      </c>
      <c r="C23" s="389">
        <f t="shared" si="1"/>
        <v>2314851</v>
      </c>
      <c r="D23" s="389">
        <v>32116.9999999</v>
      </c>
      <c r="E23" s="8">
        <v>19.0</v>
      </c>
      <c r="H23" s="388">
        <f t="shared" si="2"/>
        <v>904</v>
      </c>
    </row>
    <row r="24" ht="15.75" customHeight="1">
      <c r="A24" s="388">
        <v>904.5</v>
      </c>
      <c r="B24" s="389">
        <v>295939.0</v>
      </c>
      <c r="C24" s="389">
        <f t="shared" si="1"/>
        <v>2330939</v>
      </c>
      <c r="D24" s="389">
        <v>32237.9999999</v>
      </c>
      <c r="E24" s="8">
        <v>20.0</v>
      </c>
      <c r="H24" s="388">
        <f t="shared" si="2"/>
        <v>904.5</v>
      </c>
    </row>
    <row r="25" ht="15.75" customHeight="1">
      <c r="A25" s="388">
        <v>905.0</v>
      </c>
      <c r="B25" s="389">
        <v>312088.0</v>
      </c>
      <c r="C25" s="389">
        <f t="shared" si="1"/>
        <v>2347088</v>
      </c>
      <c r="D25" s="389">
        <v>32358.9999999</v>
      </c>
      <c r="E25" s="8">
        <v>21.0</v>
      </c>
      <c r="H25" s="388">
        <f t="shared" si="2"/>
        <v>905</v>
      </c>
    </row>
    <row r="26" ht="15.75" customHeight="1">
      <c r="A26" s="388">
        <v>905.5</v>
      </c>
      <c r="B26" s="389">
        <v>328298.0</v>
      </c>
      <c r="C26" s="389">
        <f t="shared" si="1"/>
        <v>2363298</v>
      </c>
      <c r="D26" s="389">
        <v>32479.0</v>
      </c>
      <c r="E26" s="8">
        <v>22.0</v>
      </c>
      <c r="H26" s="388">
        <f t="shared" si="2"/>
        <v>905.5</v>
      </c>
    </row>
    <row r="27" ht="15.75" customHeight="1">
      <c r="A27" s="388">
        <v>906.0</v>
      </c>
      <c r="B27" s="389">
        <v>344568.0</v>
      </c>
      <c r="C27" s="389">
        <f t="shared" si="1"/>
        <v>2379568</v>
      </c>
      <c r="D27" s="389">
        <v>32599.9999999</v>
      </c>
      <c r="E27" s="8">
        <v>23.0</v>
      </c>
      <c r="H27" s="388">
        <f t="shared" si="2"/>
        <v>906</v>
      </c>
    </row>
    <row r="28" ht="15.75" customHeight="1">
      <c r="A28" s="388">
        <v>906.5</v>
      </c>
      <c r="B28" s="389">
        <v>360898.0</v>
      </c>
      <c r="C28" s="389">
        <f t="shared" si="1"/>
        <v>2395898</v>
      </c>
      <c r="D28" s="389">
        <v>32720.0</v>
      </c>
      <c r="E28" s="8">
        <v>24.0</v>
      </c>
      <c r="H28" s="388">
        <f t="shared" si="2"/>
        <v>906.5</v>
      </c>
    </row>
    <row r="29" ht="15.75" customHeight="1">
      <c r="A29" s="388">
        <v>907.0</v>
      </c>
      <c r="B29" s="389">
        <v>377288.0</v>
      </c>
      <c r="C29" s="389">
        <f t="shared" si="1"/>
        <v>2412288</v>
      </c>
      <c r="D29" s="389">
        <v>32841.0</v>
      </c>
      <c r="E29" s="8">
        <v>25.0</v>
      </c>
      <c r="H29" s="388">
        <f t="shared" si="2"/>
        <v>907</v>
      </c>
    </row>
    <row r="30" ht="15.75" customHeight="1">
      <c r="A30" s="388">
        <v>907.5</v>
      </c>
      <c r="B30" s="389">
        <v>393739.0</v>
      </c>
      <c r="C30" s="389">
        <f t="shared" si="1"/>
        <v>2428739</v>
      </c>
      <c r="D30" s="389">
        <v>32962.0</v>
      </c>
      <c r="E30" s="8">
        <v>26.0</v>
      </c>
      <c r="H30" s="388">
        <f t="shared" si="2"/>
        <v>907.5</v>
      </c>
    </row>
    <row r="31" ht="15.75" customHeight="1">
      <c r="A31" s="388">
        <v>908.0</v>
      </c>
      <c r="B31" s="389">
        <v>410250.0</v>
      </c>
      <c r="C31" s="389">
        <f t="shared" si="1"/>
        <v>2445250</v>
      </c>
      <c r="D31" s="389">
        <v>33082.0</v>
      </c>
      <c r="E31" s="8">
        <v>27.0</v>
      </c>
      <c r="H31" s="388">
        <f t="shared" si="2"/>
        <v>908</v>
      </c>
    </row>
    <row r="32" ht="15.75" customHeight="1">
      <c r="A32" s="388">
        <v>908.5</v>
      </c>
      <c r="B32" s="389">
        <v>426821.0</v>
      </c>
      <c r="C32" s="389">
        <f t="shared" si="1"/>
        <v>2461821</v>
      </c>
      <c r="D32" s="389">
        <v>33203.0</v>
      </c>
      <c r="E32" s="8">
        <v>28.0</v>
      </c>
      <c r="H32" s="388">
        <f t="shared" si="2"/>
        <v>908.5</v>
      </c>
    </row>
    <row r="33" ht="15.75" customHeight="1">
      <c r="A33" s="388">
        <v>909.0</v>
      </c>
      <c r="B33" s="389">
        <v>443452.0</v>
      </c>
      <c r="C33" s="389">
        <f t="shared" si="1"/>
        <v>2478452</v>
      </c>
      <c r="D33" s="389">
        <v>33323.0000001</v>
      </c>
      <c r="E33" s="8">
        <v>29.0</v>
      </c>
      <c r="H33" s="388">
        <f t="shared" si="2"/>
        <v>909</v>
      </c>
    </row>
    <row r="34" ht="15.75" customHeight="1">
      <c r="A34" s="388">
        <v>909.5</v>
      </c>
      <c r="B34" s="389">
        <v>460144.0</v>
      </c>
      <c r="C34" s="389">
        <f t="shared" si="1"/>
        <v>2495144</v>
      </c>
      <c r="D34" s="389">
        <v>33444.0000001</v>
      </c>
      <c r="E34" s="8">
        <v>30.0</v>
      </c>
      <c r="H34" s="388">
        <f t="shared" si="2"/>
        <v>909.5</v>
      </c>
    </row>
    <row r="35" ht="15.75" customHeight="1">
      <c r="A35" s="388">
        <v>910.0</v>
      </c>
      <c r="B35" s="389">
        <v>476896.0</v>
      </c>
      <c r="C35" s="389">
        <f t="shared" si="1"/>
        <v>2511896</v>
      </c>
      <c r="D35" s="389">
        <v>33565.0</v>
      </c>
      <c r="E35" s="8">
        <v>31.0</v>
      </c>
      <c r="H35" s="388">
        <f t="shared" si="2"/>
        <v>910</v>
      </c>
    </row>
    <row r="36" ht="15.75" customHeight="1">
      <c r="A36" s="388">
        <v>910.5</v>
      </c>
      <c r="B36" s="389">
        <v>493708.0</v>
      </c>
      <c r="C36" s="389">
        <f t="shared" si="1"/>
        <v>2528708</v>
      </c>
      <c r="D36" s="389">
        <v>33683.0000001</v>
      </c>
      <c r="E36" s="8">
        <v>32.0</v>
      </c>
      <c r="H36" s="388">
        <f t="shared" si="2"/>
        <v>910.5</v>
      </c>
    </row>
    <row r="37" ht="15.75" customHeight="1">
      <c r="A37" s="388">
        <v>911.0</v>
      </c>
      <c r="B37" s="389">
        <v>510579.0</v>
      </c>
      <c r="C37" s="389">
        <f t="shared" si="1"/>
        <v>2545579</v>
      </c>
      <c r="D37" s="389">
        <v>33800.0</v>
      </c>
      <c r="E37" s="8">
        <v>33.0</v>
      </c>
      <c r="H37" s="388">
        <f t="shared" si="2"/>
        <v>911</v>
      </c>
    </row>
    <row r="38" ht="15.75" customHeight="1">
      <c r="A38" s="388">
        <v>911.5</v>
      </c>
      <c r="B38" s="389">
        <v>527509.0</v>
      </c>
      <c r="C38" s="389">
        <f t="shared" si="1"/>
        <v>2562509</v>
      </c>
      <c r="D38" s="389">
        <v>33918.0</v>
      </c>
      <c r="E38" s="8">
        <v>34.0</v>
      </c>
      <c r="H38" s="388">
        <f t="shared" si="2"/>
        <v>911.5</v>
      </c>
    </row>
    <row r="39" ht="15.75" customHeight="1">
      <c r="A39" s="388">
        <v>912.0</v>
      </c>
      <c r="B39" s="389">
        <v>544497.0</v>
      </c>
      <c r="C39" s="389">
        <f t="shared" si="1"/>
        <v>2579497</v>
      </c>
      <c r="D39" s="389">
        <v>34036.0</v>
      </c>
      <c r="E39" s="8">
        <v>35.0</v>
      </c>
      <c r="H39" s="388">
        <f t="shared" si="2"/>
        <v>912</v>
      </c>
    </row>
    <row r="40" ht="15.75" customHeight="1">
      <c r="A40" s="388">
        <v>912.5</v>
      </c>
      <c r="B40" s="389">
        <v>561545.0</v>
      </c>
      <c r="C40" s="389">
        <f t="shared" si="1"/>
        <v>2596545</v>
      </c>
      <c r="D40" s="389">
        <v>34154.0000001</v>
      </c>
      <c r="E40" s="8">
        <v>36.0</v>
      </c>
      <c r="H40" s="388">
        <f t="shared" si="2"/>
        <v>912.5</v>
      </c>
    </row>
    <row r="41" ht="15.75" customHeight="1">
      <c r="A41" s="388">
        <v>913.0</v>
      </c>
      <c r="B41" s="389">
        <v>578651.0</v>
      </c>
      <c r="C41" s="389">
        <f t="shared" si="1"/>
        <v>2613651</v>
      </c>
      <c r="D41" s="389">
        <v>34271.9999999</v>
      </c>
      <c r="E41" s="8">
        <v>37.0</v>
      </c>
      <c r="H41" s="388">
        <f t="shared" si="2"/>
        <v>913</v>
      </c>
    </row>
    <row r="42" ht="15.75" customHeight="1">
      <c r="A42" s="388">
        <v>913.5</v>
      </c>
      <c r="B42" s="389">
        <v>595817.0</v>
      </c>
      <c r="C42" s="389">
        <f t="shared" si="1"/>
        <v>2630817</v>
      </c>
      <c r="D42" s="389">
        <v>34389.9999999</v>
      </c>
      <c r="E42" s="8">
        <v>38.0</v>
      </c>
      <c r="H42" s="388">
        <f t="shared" si="2"/>
        <v>913.5</v>
      </c>
    </row>
    <row r="43" ht="15.75" customHeight="1">
      <c r="A43" s="388">
        <v>914.0</v>
      </c>
      <c r="B43" s="389">
        <v>613041.0</v>
      </c>
      <c r="C43" s="389">
        <f t="shared" si="1"/>
        <v>2648041</v>
      </c>
      <c r="D43" s="389">
        <v>34508.0</v>
      </c>
      <c r="E43" s="8">
        <v>39.0</v>
      </c>
      <c r="H43" s="388">
        <f t="shared" si="2"/>
        <v>914</v>
      </c>
    </row>
    <row r="44" ht="15.75" customHeight="1">
      <c r="A44" s="388">
        <v>914.5</v>
      </c>
      <c r="B44" s="389">
        <v>630324.0</v>
      </c>
      <c r="C44" s="389">
        <f t="shared" si="1"/>
        <v>2665324</v>
      </c>
      <c r="D44" s="389">
        <v>34626.0</v>
      </c>
      <c r="E44" s="8">
        <v>40.0</v>
      </c>
      <c r="H44" s="388">
        <f t="shared" si="2"/>
        <v>914.5</v>
      </c>
    </row>
    <row r="45" ht="15.75" customHeight="1">
      <c r="A45" s="388">
        <v>915.0</v>
      </c>
      <c r="B45" s="389">
        <v>647667.0</v>
      </c>
      <c r="C45" s="389">
        <f t="shared" si="1"/>
        <v>2682667</v>
      </c>
      <c r="D45" s="389">
        <v>34742.9999999</v>
      </c>
      <c r="E45" s="8">
        <v>41.0</v>
      </c>
      <c r="H45" s="388">
        <f t="shared" si="2"/>
        <v>915</v>
      </c>
    </row>
    <row r="46" ht="15.75" customHeight="1">
      <c r="A46" s="388">
        <v>915.5</v>
      </c>
      <c r="B46" s="389">
        <v>665068.0</v>
      </c>
      <c r="C46" s="389">
        <f t="shared" si="1"/>
        <v>2700068</v>
      </c>
      <c r="D46" s="389">
        <v>34860.9999999</v>
      </c>
      <c r="E46" s="8">
        <v>42.0</v>
      </c>
      <c r="H46" s="388">
        <f t="shared" si="2"/>
        <v>915.5</v>
      </c>
    </row>
    <row r="47" ht="15.75" customHeight="1">
      <c r="A47" s="388">
        <v>916.0</v>
      </c>
      <c r="B47" s="389">
        <v>682528.0</v>
      </c>
      <c r="C47" s="389">
        <f t="shared" si="1"/>
        <v>2717528</v>
      </c>
      <c r="D47" s="389">
        <v>34979.0</v>
      </c>
      <c r="E47" s="8">
        <v>43.0</v>
      </c>
      <c r="H47" s="388">
        <f t="shared" si="2"/>
        <v>916</v>
      </c>
    </row>
    <row r="48" ht="15.75" customHeight="1">
      <c r="A48" s="388">
        <v>916.5</v>
      </c>
      <c r="B48" s="389">
        <v>700047.0</v>
      </c>
      <c r="C48" s="389">
        <f t="shared" si="1"/>
        <v>2735047</v>
      </c>
      <c r="D48" s="389">
        <v>35097.0</v>
      </c>
      <c r="E48" s="8">
        <v>44.0</v>
      </c>
      <c r="H48" s="388">
        <f t="shared" si="2"/>
        <v>916.5</v>
      </c>
    </row>
    <row r="49" ht="15.75" customHeight="1">
      <c r="A49" s="388">
        <v>917.0</v>
      </c>
      <c r="B49" s="389">
        <v>717625.0</v>
      </c>
      <c r="C49" s="389">
        <f t="shared" si="1"/>
        <v>2752625</v>
      </c>
      <c r="D49" s="389">
        <v>35215.0</v>
      </c>
      <c r="E49" s="8">
        <v>45.0</v>
      </c>
      <c r="H49" s="388">
        <f t="shared" si="2"/>
        <v>917</v>
      </c>
    </row>
    <row r="50" ht="15.75" customHeight="1">
      <c r="A50" s="388">
        <v>917.5</v>
      </c>
      <c r="B50" s="389">
        <v>735262.0</v>
      </c>
      <c r="C50" s="389">
        <f t="shared" si="1"/>
        <v>2770262</v>
      </c>
      <c r="D50" s="389">
        <v>35333.0000001</v>
      </c>
      <c r="E50" s="8">
        <v>46.0</v>
      </c>
      <c r="H50" s="388">
        <f t="shared" si="2"/>
        <v>917.5</v>
      </c>
    </row>
    <row r="51" ht="15.75" customHeight="1">
      <c r="A51" s="388">
        <v>918.0</v>
      </c>
      <c r="B51" s="389">
        <v>752958.0</v>
      </c>
      <c r="C51" s="389">
        <f t="shared" si="1"/>
        <v>2787958</v>
      </c>
      <c r="D51" s="389">
        <v>35451.0000001</v>
      </c>
      <c r="E51" s="8">
        <v>47.0</v>
      </c>
      <c r="H51" s="388">
        <f t="shared" si="2"/>
        <v>918</v>
      </c>
    </row>
    <row r="52" ht="15.75" customHeight="1">
      <c r="A52" s="388">
        <v>918.5</v>
      </c>
      <c r="B52" s="389">
        <v>770713.0</v>
      </c>
      <c r="C52" s="389">
        <f t="shared" si="1"/>
        <v>2805713</v>
      </c>
      <c r="D52" s="389">
        <v>35568.9999999</v>
      </c>
      <c r="E52" s="8">
        <v>48.0</v>
      </c>
      <c r="H52" s="388">
        <f t="shared" si="2"/>
        <v>918.5</v>
      </c>
    </row>
    <row r="53" ht="15.75" customHeight="1">
      <c r="A53" s="388">
        <v>919.0</v>
      </c>
      <c r="B53" s="389">
        <v>788526.0</v>
      </c>
      <c r="C53" s="389">
        <f t="shared" si="1"/>
        <v>2823526</v>
      </c>
      <c r="D53" s="389">
        <v>35686.0000001</v>
      </c>
      <c r="E53" s="8">
        <v>49.0</v>
      </c>
      <c r="H53" s="388">
        <f t="shared" si="2"/>
        <v>919</v>
      </c>
    </row>
    <row r="54" ht="15.75" customHeight="1">
      <c r="A54" s="388">
        <v>919.5</v>
      </c>
      <c r="B54" s="389">
        <v>806399.0</v>
      </c>
      <c r="C54" s="389">
        <f t="shared" si="1"/>
        <v>2841399</v>
      </c>
      <c r="D54" s="389">
        <v>35804.0000001</v>
      </c>
      <c r="E54" s="8">
        <v>50.0</v>
      </c>
      <c r="H54" s="388">
        <f t="shared" si="2"/>
        <v>919.5</v>
      </c>
    </row>
    <row r="55" ht="15.75" customHeight="1">
      <c r="A55" s="388">
        <v>920.0</v>
      </c>
      <c r="B55" s="389">
        <v>824331.000002</v>
      </c>
      <c r="C55" s="389">
        <f t="shared" si="1"/>
        <v>2859331</v>
      </c>
      <c r="D55" s="389">
        <v>35921.9999999</v>
      </c>
      <c r="E55" s="8">
        <v>51.0</v>
      </c>
      <c r="H55" s="388">
        <f t="shared" si="2"/>
        <v>920</v>
      </c>
    </row>
    <row r="56" ht="15.75" customHeight="1">
      <c r="A56" s="388">
        <v>920.5</v>
      </c>
      <c r="B56" s="389">
        <v>842319.999998</v>
      </c>
      <c r="C56" s="389">
        <f t="shared" si="1"/>
        <v>2877320</v>
      </c>
      <c r="D56" s="389">
        <v>36036.0000001</v>
      </c>
      <c r="E56" s="8">
        <v>52.0</v>
      </c>
      <c r="H56" s="388">
        <f t="shared" si="2"/>
        <v>920.5</v>
      </c>
    </row>
    <row r="57" ht="15.75" customHeight="1">
      <c r="A57" s="388">
        <v>921.0</v>
      </c>
      <c r="B57" s="389">
        <v>860367.000004</v>
      </c>
      <c r="C57" s="389">
        <f t="shared" si="1"/>
        <v>2895367</v>
      </c>
      <c r="D57" s="389">
        <v>36150.0000001</v>
      </c>
      <c r="E57" s="8">
        <v>53.0</v>
      </c>
      <c r="H57" s="388">
        <f t="shared" si="2"/>
        <v>921</v>
      </c>
    </row>
    <row r="58" ht="15.75" customHeight="1">
      <c r="A58" s="388">
        <v>921.5</v>
      </c>
      <c r="B58" s="389">
        <v>878470.999998</v>
      </c>
      <c r="C58" s="389">
        <f t="shared" si="1"/>
        <v>2913471</v>
      </c>
      <c r="D58" s="389">
        <v>36264.0</v>
      </c>
      <c r="E58" s="8">
        <v>54.0</v>
      </c>
      <c r="H58" s="388">
        <f t="shared" si="2"/>
        <v>921.5</v>
      </c>
    </row>
    <row r="59" ht="15.75" customHeight="1">
      <c r="A59" s="388">
        <v>922.0</v>
      </c>
      <c r="B59" s="389">
        <v>896630.999998</v>
      </c>
      <c r="C59" s="389">
        <f t="shared" si="1"/>
        <v>2931631</v>
      </c>
      <c r="D59" s="389">
        <v>36378.0</v>
      </c>
      <c r="E59" s="8">
        <v>55.0</v>
      </c>
      <c r="H59" s="388">
        <f t="shared" si="2"/>
        <v>922</v>
      </c>
    </row>
    <row r="60" ht="15.75" customHeight="1">
      <c r="A60" s="388">
        <v>922.5</v>
      </c>
      <c r="B60" s="389">
        <v>914849.000001</v>
      </c>
      <c r="C60" s="389">
        <f t="shared" si="1"/>
        <v>2949849</v>
      </c>
      <c r="D60" s="389">
        <v>36491.9999999</v>
      </c>
      <c r="E60" s="8">
        <v>56.0</v>
      </c>
      <c r="H60" s="388">
        <f t="shared" si="2"/>
        <v>922.5</v>
      </c>
    </row>
    <row r="61" ht="15.75" customHeight="1">
      <c r="A61" s="388">
        <v>923.0</v>
      </c>
      <c r="B61" s="389">
        <v>933123.000002</v>
      </c>
      <c r="C61" s="389">
        <f t="shared" si="1"/>
        <v>2968123</v>
      </c>
      <c r="D61" s="389">
        <v>36607.0000001</v>
      </c>
      <c r="E61" s="8">
        <v>57.0</v>
      </c>
      <c r="H61" s="388">
        <f t="shared" si="2"/>
        <v>923</v>
      </c>
    </row>
    <row r="62" ht="15.75" customHeight="1">
      <c r="A62" s="388">
        <v>923.5</v>
      </c>
      <c r="B62" s="389">
        <v>951454.999997</v>
      </c>
      <c r="C62" s="389">
        <f t="shared" si="1"/>
        <v>2986455</v>
      </c>
      <c r="D62" s="389">
        <v>36721.0</v>
      </c>
      <c r="E62" s="8">
        <v>58.0</v>
      </c>
      <c r="H62" s="388">
        <f t="shared" si="2"/>
        <v>923.5</v>
      </c>
    </row>
    <row r="63" ht="15.75" customHeight="1">
      <c r="A63" s="388">
        <v>924.0</v>
      </c>
      <c r="B63" s="389">
        <v>969843.999996</v>
      </c>
      <c r="C63" s="389">
        <f t="shared" si="1"/>
        <v>3004844</v>
      </c>
      <c r="D63" s="389">
        <v>36835.0</v>
      </c>
      <c r="E63" s="8">
        <v>59.0</v>
      </c>
      <c r="H63" s="388">
        <f t="shared" si="2"/>
        <v>924</v>
      </c>
    </row>
    <row r="64" ht="15.75" customHeight="1">
      <c r="A64" s="388">
        <v>924.5</v>
      </c>
      <c r="B64" s="389">
        <v>988290.0</v>
      </c>
      <c r="C64" s="389">
        <f t="shared" si="1"/>
        <v>3023290</v>
      </c>
      <c r="D64" s="389">
        <v>36948.9999999</v>
      </c>
      <c r="E64" s="8">
        <v>60.0</v>
      </c>
      <c r="H64" s="388">
        <f t="shared" si="2"/>
        <v>924.5</v>
      </c>
    </row>
    <row r="65" ht="15.75" customHeight="1">
      <c r="A65" s="388">
        <v>925.0</v>
      </c>
      <c r="B65" s="389">
        <v>1006793.0</v>
      </c>
      <c r="C65" s="389">
        <f t="shared" si="1"/>
        <v>3041793</v>
      </c>
      <c r="D65" s="389">
        <v>37062.9999999</v>
      </c>
      <c r="E65" s="8">
        <v>61.0</v>
      </c>
      <c r="H65" s="388">
        <f t="shared" si="2"/>
        <v>925</v>
      </c>
    </row>
    <row r="66" ht="15.75" customHeight="1">
      <c r="A66" s="388">
        <v>925.5</v>
      </c>
      <c r="B66" s="389">
        <v>1025353.0</v>
      </c>
      <c r="C66" s="389">
        <f t="shared" si="1"/>
        <v>3060353</v>
      </c>
      <c r="D66" s="389">
        <v>37177.0000001</v>
      </c>
      <c r="E66" s="8">
        <v>62.0</v>
      </c>
      <c r="H66" s="388">
        <f t="shared" si="2"/>
        <v>925.5</v>
      </c>
    </row>
    <row r="67" ht="15.75" customHeight="1">
      <c r="A67" s="388">
        <v>926.0</v>
      </c>
      <c r="B67" s="389">
        <v>1043970.0</v>
      </c>
      <c r="C67" s="389">
        <f t="shared" si="1"/>
        <v>3078970</v>
      </c>
      <c r="D67" s="389">
        <v>37291.0000001</v>
      </c>
      <c r="E67" s="8">
        <v>63.0</v>
      </c>
      <c r="H67" s="388">
        <f t="shared" si="2"/>
        <v>926</v>
      </c>
    </row>
    <row r="68" ht="15.75" customHeight="1">
      <c r="A68" s="388">
        <v>926.5</v>
      </c>
      <c r="B68" s="389">
        <v>1062644.0</v>
      </c>
      <c r="C68" s="389">
        <f t="shared" si="1"/>
        <v>3097644</v>
      </c>
      <c r="D68" s="389">
        <v>37405.0</v>
      </c>
      <c r="E68" s="8">
        <v>64.0</v>
      </c>
      <c r="H68" s="388">
        <f t="shared" si="2"/>
        <v>926.5</v>
      </c>
    </row>
    <row r="69" ht="15.75" customHeight="1">
      <c r="A69" s="388">
        <v>927.0</v>
      </c>
      <c r="B69" s="389">
        <v>1081375.0</v>
      </c>
      <c r="C69" s="389">
        <f t="shared" si="1"/>
        <v>3116375</v>
      </c>
      <c r="D69" s="389">
        <v>37519.0</v>
      </c>
      <c r="E69" s="8">
        <v>65.0</v>
      </c>
      <c r="H69" s="388">
        <f t="shared" si="2"/>
        <v>927</v>
      </c>
    </row>
    <row r="70" ht="15.75" customHeight="1">
      <c r="A70" s="388">
        <v>927.5</v>
      </c>
      <c r="B70" s="389">
        <v>1100163.0</v>
      </c>
      <c r="C70" s="389">
        <f t="shared" si="1"/>
        <v>3135163</v>
      </c>
      <c r="D70" s="389">
        <v>37633.0</v>
      </c>
      <c r="E70" s="8">
        <v>66.0</v>
      </c>
      <c r="H70" s="388">
        <f t="shared" si="2"/>
        <v>927.5</v>
      </c>
    </row>
    <row r="71" ht="15.75" customHeight="1">
      <c r="A71" s="388">
        <v>928.0</v>
      </c>
      <c r="B71" s="389">
        <v>1119008.0</v>
      </c>
      <c r="C71" s="389">
        <f t="shared" si="1"/>
        <v>3154008</v>
      </c>
      <c r="D71" s="389">
        <v>37746.9999999</v>
      </c>
      <c r="E71" s="8">
        <v>67.0</v>
      </c>
      <c r="H71" s="388">
        <f t="shared" si="2"/>
        <v>928</v>
      </c>
    </row>
    <row r="72" ht="15.75" customHeight="1">
      <c r="A72" s="388">
        <v>928.5</v>
      </c>
      <c r="B72" s="389">
        <v>1137910.0</v>
      </c>
      <c r="C72" s="389">
        <f t="shared" si="1"/>
        <v>3172910</v>
      </c>
      <c r="D72" s="389">
        <v>37860.9999999</v>
      </c>
      <c r="E72" s="8">
        <v>68.0</v>
      </c>
      <c r="H72" s="388">
        <f t="shared" si="2"/>
        <v>928.5</v>
      </c>
    </row>
    <row r="73" ht="15.75" customHeight="1">
      <c r="A73" s="388">
        <v>929.0</v>
      </c>
      <c r="B73" s="389">
        <v>1156869.0</v>
      </c>
      <c r="C73" s="389">
        <f t="shared" si="1"/>
        <v>3191869</v>
      </c>
      <c r="D73" s="389">
        <v>37975.0000001</v>
      </c>
      <c r="E73" s="8">
        <v>69.0</v>
      </c>
      <c r="H73" s="388">
        <f t="shared" si="2"/>
        <v>929</v>
      </c>
    </row>
    <row r="74" ht="15.75" customHeight="1">
      <c r="A74" s="388">
        <v>929.5</v>
      </c>
      <c r="B74" s="389">
        <v>1175885.0</v>
      </c>
      <c r="C74" s="389">
        <f t="shared" si="1"/>
        <v>3210885</v>
      </c>
      <c r="D74" s="389">
        <v>38089.0000001</v>
      </c>
      <c r="E74" s="8">
        <v>70.0</v>
      </c>
      <c r="H74" s="388">
        <f t="shared" si="2"/>
        <v>929.5</v>
      </c>
    </row>
    <row r="75" ht="15.75" customHeight="1">
      <c r="A75" s="388">
        <v>930.0</v>
      </c>
      <c r="B75" s="389">
        <v>1194958.0</v>
      </c>
      <c r="C75" s="389">
        <f t="shared" si="1"/>
        <v>3229958</v>
      </c>
      <c r="D75" s="389">
        <v>38203.0</v>
      </c>
      <c r="E75" s="8">
        <v>71.0</v>
      </c>
      <c r="H75" s="388">
        <f t="shared" si="2"/>
        <v>930</v>
      </c>
    </row>
    <row r="76" ht="15.75" customHeight="1">
      <c r="A76" s="388">
        <v>930.5</v>
      </c>
      <c r="B76" s="389">
        <v>1214089.0</v>
      </c>
      <c r="C76" s="389">
        <f t="shared" si="1"/>
        <v>3249089</v>
      </c>
      <c r="D76" s="389">
        <v>38319.9999999</v>
      </c>
      <c r="E76" s="8">
        <v>72.0</v>
      </c>
      <c r="H76" s="388">
        <f t="shared" si="2"/>
        <v>930.5</v>
      </c>
    </row>
    <row r="77" ht="15.75" customHeight="1">
      <c r="A77" s="388">
        <v>931.0</v>
      </c>
      <c r="B77" s="389">
        <v>1233278.0</v>
      </c>
      <c r="C77" s="389">
        <f t="shared" si="1"/>
        <v>3268278</v>
      </c>
      <c r="D77" s="389">
        <v>38435.9999999</v>
      </c>
      <c r="E77" s="8">
        <v>73.0</v>
      </c>
      <c r="H77" s="388">
        <f t="shared" si="2"/>
        <v>931</v>
      </c>
    </row>
    <row r="78" ht="15.75" customHeight="1">
      <c r="A78" s="388">
        <v>931.5</v>
      </c>
      <c r="B78" s="389">
        <v>1252525.0</v>
      </c>
      <c r="C78" s="389">
        <f t="shared" si="1"/>
        <v>3287525</v>
      </c>
      <c r="D78" s="389">
        <v>38551.9999999</v>
      </c>
      <c r="E78" s="8">
        <v>74.0</v>
      </c>
      <c r="H78" s="388">
        <f t="shared" si="2"/>
        <v>931.5</v>
      </c>
    </row>
    <row r="79" ht="15.75" customHeight="1">
      <c r="A79" s="388">
        <v>932.0</v>
      </c>
      <c r="B79" s="389">
        <v>1271830.0</v>
      </c>
      <c r="C79" s="389">
        <f t="shared" si="1"/>
        <v>3306830</v>
      </c>
      <c r="D79" s="389">
        <v>38667.9999999</v>
      </c>
      <c r="E79" s="8">
        <v>75.0</v>
      </c>
      <c r="H79" s="388">
        <f t="shared" si="2"/>
        <v>932</v>
      </c>
    </row>
    <row r="80" ht="15.75" customHeight="1">
      <c r="A80" s="388">
        <v>932.5</v>
      </c>
      <c r="B80" s="389">
        <v>1291193.0</v>
      </c>
      <c r="C80" s="389">
        <f t="shared" si="1"/>
        <v>3326193</v>
      </c>
      <c r="D80" s="389">
        <v>38783.9999999</v>
      </c>
      <c r="E80" s="8">
        <v>76.0</v>
      </c>
      <c r="H80" s="388">
        <f t="shared" si="2"/>
        <v>932.5</v>
      </c>
    </row>
    <row r="81" ht="15.75" customHeight="1">
      <c r="A81" s="388">
        <v>933.0</v>
      </c>
      <c r="B81" s="389">
        <v>1310614.0</v>
      </c>
      <c r="C81" s="389">
        <f t="shared" si="1"/>
        <v>3345614</v>
      </c>
      <c r="D81" s="389">
        <v>38899.9999999</v>
      </c>
      <c r="E81" s="8">
        <v>77.0</v>
      </c>
      <c r="H81" s="388">
        <f t="shared" si="2"/>
        <v>933</v>
      </c>
    </row>
    <row r="82" ht="15.75" customHeight="1">
      <c r="A82" s="388">
        <v>933.5</v>
      </c>
      <c r="B82" s="389">
        <v>1330093.0</v>
      </c>
      <c r="C82" s="389">
        <f t="shared" si="1"/>
        <v>3365093</v>
      </c>
      <c r="D82" s="389">
        <v>39015.9999999</v>
      </c>
      <c r="E82" s="8">
        <v>78.0</v>
      </c>
      <c r="H82" s="388">
        <f t="shared" si="2"/>
        <v>933.5</v>
      </c>
    </row>
    <row r="83" ht="15.75" customHeight="1">
      <c r="A83" s="388">
        <v>934.0</v>
      </c>
      <c r="B83" s="389">
        <v>1349630.0</v>
      </c>
      <c r="C83" s="389">
        <f t="shared" si="1"/>
        <v>3384630</v>
      </c>
      <c r="D83" s="389">
        <v>39133.0000001</v>
      </c>
      <c r="E83" s="8">
        <v>79.0</v>
      </c>
      <c r="H83" s="388">
        <f t="shared" si="2"/>
        <v>934</v>
      </c>
    </row>
    <row r="84" ht="15.75" customHeight="1">
      <c r="A84" s="388">
        <v>934.5</v>
      </c>
      <c r="B84" s="389">
        <v>1369226.0</v>
      </c>
      <c r="C84" s="389">
        <f t="shared" si="1"/>
        <v>3404226</v>
      </c>
      <c r="D84" s="389">
        <v>39249.0000001</v>
      </c>
      <c r="E84" s="8">
        <v>80.0</v>
      </c>
      <c r="H84" s="388">
        <f t="shared" si="2"/>
        <v>934.5</v>
      </c>
    </row>
    <row r="85" ht="15.75" customHeight="1">
      <c r="A85" s="388">
        <v>935.0</v>
      </c>
      <c r="B85" s="389">
        <v>1388879.0</v>
      </c>
      <c r="C85" s="389">
        <f t="shared" si="1"/>
        <v>3423879</v>
      </c>
      <c r="D85" s="389">
        <v>39365.0000001</v>
      </c>
      <c r="E85" s="8">
        <v>81.0</v>
      </c>
      <c r="H85" s="388">
        <f t="shared" si="2"/>
        <v>935</v>
      </c>
    </row>
    <row r="86" ht="15.75" customHeight="1">
      <c r="A86" s="388">
        <v>935.5</v>
      </c>
      <c r="B86" s="389">
        <v>1408591.0</v>
      </c>
      <c r="C86" s="389">
        <f t="shared" si="1"/>
        <v>3443591</v>
      </c>
      <c r="D86" s="389">
        <v>39481.0000001</v>
      </c>
      <c r="E86" s="8">
        <v>82.0</v>
      </c>
      <c r="H86" s="388">
        <f t="shared" si="2"/>
        <v>935.5</v>
      </c>
    </row>
    <row r="87" ht="15.75" customHeight="1">
      <c r="A87" s="388">
        <v>936.0</v>
      </c>
      <c r="B87" s="389">
        <v>1428360.0</v>
      </c>
      <c r="C87" s="389">
        <f t="shared" si="1"/>
        <v>3463360</v>
      </c>
      <c r="D87" s="389">
        <v>39597.0000001</v>
      </c>
      <c r="E87" s="8">
        <v>83.0</v>
      </c>
      <c r="H87" s="388">
        <f t="shared" si="2"/>
        <v>936</v>
      </c>
    </row>
    <row r="88" ht="15.75" customHeight="1">
      <c r="A88" s="388">
        <v>936.5</v>
      </c>
      <c r="B88" s="389">
        <v>1448188.0</v>
      </c>
      <c r="C88" s="389">
        <f t="shared" si="1"/>
        <v>3483188</v>
      </c>
      <c r="D88" s="389">
        <v>39713.0000001</v>
      </c>
      <c r="E88" s="8">
        <v>84.0</v>
      </c>
      <c r="H88" s="388">
        <f t="shared" si="2"/>
        <v>936.5</v>
      </c>
    </row>
    <row r="89" ht="15.75" customHeight="1">
      <c r="A89" s="388">
        <v>937.0</v>
      </c>
      <c r="B89" s="389">
        <v>1468074.0</v>
      </c>
      <c r="C89" s="389">
        <f t="shared" si="1"/>
        <v>3503074</v>
      </c>
      <c r="D89" s="389">
        <v>39830.0</v>
      </c>
      <c r="E89" s="8">
        <v>85.0</v>
      </c>
      <c r="H89" s="388">
        <f t="shared" si="2"/>
        <v>937</v>
      </c>
    </row>
    <row r="90" ht="15.75" customHeight="1">
      <c r="A90" s="388">
        <v>937.5</v>
      </c>
      <c r="B90" s="389">
        <v>1488018.0</v>
      </c>
      <c r="C90" s="389">
        <f t="shared" si="1"/>
        <v>3523018</v>
      </c>
      <c r="D90" s="389">
        <v>39946.0</v>
      </c>
      <c r="E90" s="8">
        <v>86.0</v>
      </c>
      <c r="H90" s="388">
        <f t="shared" si="2"/>
        <v>937.5</v>
      </c>
    </row>
    <row r="91" ht="15.75" customHeight="1">
      <c r="A91" s="388">
        <v>938.0</v>
      </c>
      <c r="B91" s="389">
        <v>1508019.0</v>
      </c>
      <c r="C91" s="389">
        <f t="shared" si="1"/>
        <v>3543019</v>
      </c>
      <c r="D91" s="389">
        <v>40062.0</v>
      </c>
      <c r="E91" s="8">
        <v>87.0</v>
      </c>
      <c r="H91" s="388">
        <f t="shared" si="2"/>
        <v>938</v>
      </c>
    </row>
    <row r="92" ht="15.75" customHeight="1">
      <c r="A92" s="388">
        <v>938.5</v>
      </c>
      <c r="B92" s="389">
        <v>1528079.0</v>
      </c>
      <c r="C92" s="389">
        <f t="shared" si="1"/>
        <v>3563079</v>
      </c>
      <c r="D92" s="389">
        <v>40178.0</v>
      </c>
      <c r="E92" s="8">
        <v>88.0</v>
      </c>
      <c r="H92" s="388">
        <f t="shared" si="2"/>
        <v>938.5</v>
      </c>
    </row>
    <row r="93" ht="15.75" customHeight="1">
      <c r="A93" s="388">
        <v>939.0</v>
      </c>
      <c r="B93" s="389">
        <v>1548198.0</v>
      </c>
      <c r="C93" s="389">
        <f t="shared" si="1"/>
        <v>3583198</v>
      </c>
      <c r="D93" s="389">
        <v>40294.0</v>
      </c>
      <c r="E93" s="8">
        <v>89.0</v>
      </c>
      <c r="H93" s="388">
        <f t="shared" si="2"/>
        <v>939</v>
      </c>
    </row>
    <row r="94" ht="15.75" customHeight="1">
      <c r="A94" s="388">
        <v>939.5</v>
      </c>
      <c r="B94" s="389">
        <v>1568374.0</v>
      </c>
      <c r="C94" s="389">
        <f t="shared" si="1"/>
        <v>3603374</v>
      </c>
      <c r="D94" s="389">
        <v>40410.0</v>
      </c>
      <c r="E94" s="8">
        <v>90.0</v>
      </c>
      <c r="H94" s="388">
        <f t="shared" si="2"/>
        <v>939.5</v>
      </c>
    </row>
    <row r="95" ht="15.75" customHeight="1">
      <c r="A95" s="388">
        <v>940.0</v>
      </c>
      <c r="B95" s="389">
        <v>1588608.0</v>
      </c>
      <c r="C95" s="389">
        <f t="shared" si="1"/>
        <v>3623608</v>
      </c>
      <c r="D95" s="389">
        <v>40527.0000001</v>
      </c>
      <c r="E95" s="8">
        <v>91.0</v>
      </c>
      <c r="H95" s="388">
        <f t="shared" si="2"/>
        <v>940</v>
      </c>
    </row>
    <row r="96" ht="15.75" customHeight="1">
      <c r="A96" s="388">
        <v>940.5</v>
      </c>
      <c r="B96" s="389">
        <v>1608900.0</v>
      </c>
      <c r="C96" s="389">
        <f t="shared" si="1"/>
        <v>3643900</v>
      </c>
      <c r="D96" s="389">
        <v>40644.0</v>
      </c>
      <c r="E96" s="8">
        <v>92.0</v>
      </c>
      <c r="H96" s="388">
        <f t="shared" si="2"/>
        <v>940.5</v>
      </c>
    </row>
    <row r="97" ht="15.75" customHeight="1">
      <c r="A97" s="388">
        <v>941.0</v>
      </c>
      <c r="B97" s="389">
        <v>1629251.0</v>
      </c>
      <c r="C97" s="389">
        <f t="shared" si="1"/>
        <v>3664251</v>
      </c>
      <c r="D97" s="389">
        <v>40760.9999999</v>
      </c>
      <c r="E97" s="8">
        <v>93.0</v>
      </c>
      <c r="H97" s="388">
        <f t="shared" si="2"/>
        <v>941</v>
      </c>
    </row>
    <row r="98" ht="15.75" customHeight="1">
      <c r="A98" s="388">
        <v>941.5</v>
      </c>
      <c r="B98" s="389">
        <v>1649661.0</v>
      </c>
      <c r="C98" s="389">
        <f t="shared" si="1"/>
        <v>3684661</v>
      </c>
      <c r="D98" s="389">
        <v>40878.0</v>
      </c>
      <c r="E98" s="8">
        <v>94.0</v>
      </c>
      <c r="H98" s="388">
        <f t="shared" si="2"/>
        <v>941.5</v>
      </c>
    </row>
    <row r="99" ht="15.75" customHeight="1">
      <c r="A99" s="388">
        <v>942.0</v>
      </c>
      <c r="B99" s="389">
        <v>1670130.0</v>
      </c>
      <c r="C99" s="389">
        <f t="shared" si="1"/>
        <v>3705130</v>
      </c>
      <c r="D99" s="389">
        <v>40994.9999999</v>
      </c>
      <c r="E99" s="8">
        <v>95.0</v>
      </c>
      <c r="H99" s="388">
        <f t="shared" si="2"/>
        <v>942</v>
      </c>
    </row>
    <row r="100" ht="15.75" customHeight="1">
      <c r="A100" s="388">
        <v>942.5</v>
      </c>
      <c r="B100" s="389">
        <v>1690656.0</v>
      </c>
      <c r="C100" s="389">
        <f t="shared" si="1"/>
        <v>3725656</v>
      </c>
      <c r="D100" s="389">
        <v>41112.0000001</v>
      </c>
      <c r="E100" s="8">
        <v>96.0</v>
      </c>
      <c r="H100" s="388">
        <f t="shared" si="2"/>
        <v>942.5</v>
      </c>
    </row>
    <row r="101" ht="15.75" customHeight="1">
      <c r="A101" s="388">
        <v>943.0</v>
      </c>
      <c r="B101" s="389">
        <v>1711242.0</v>
      </c>
      <c r="C101" s="389">
        <f t="shared" si="1"/>
        <v>3746242</v>
      </c>
      <c r="D101" s="389">
        <v>41229.0</v>
      </c>
      <c r="E101" s="8">
        <v>97.0</v>
      </c>
      <c r="H101" s="388">
        <f t="shared" si="2"/>
        <v>943</v>
      </c>
    </row>
    <row r="102" ht="15.75" customHeight="1">
      <c r="A102" s="388">
        <v>943.5</v>
      </c>
      <c r="B102" s="389">
        <v>1731886.0</v>
      </c>
      <c r="C102" s="389">
        <f t="shared" si="1"/>
        <v>3766886</v>
      </c>
      <c r="D102" s="389">
        <v>41346.0000001</v>
      </c>
      <c r="E102" s="8">
        <v>98.0</v>
      </c>
      <c r="H102" s="388">
        <f t="shared" si="2"/>
        <v>943.5</v>
      </c>
    </row>
    <row r="103" ht="15.75" customHeight="1">
      <c r="A103" s="388">
        <v>944.0</v>
      </c>
      <c r="B103" s="389">
        <v>1752588.0</v>
      </c>
      <c r="C103" s="389">
        <f t="shared" si="1"/>
        <v>3787588</v>
      </c>
      <c r="D103" s="389">
        <v>41463.0</v>
      </c>
      <c r="E103" s="8">
        <v>99.0</v>
      </c>
      <c r="H103" s="388">
        <f t="shared" si="2"/>
        <v>944</v>
      </c>
    </row>
    <row r="104" ht="15.75" customHeight="1">
      <c r="A104" s="388">
        <v>944.5</v>
      </c>
      <c r="B104" s="389">
        <v>1773349.0</v>
      </c>
      <c r="C104" s="389">
        <f t="shared" si="1"/>
        <v>3808349</v>
      </c>
      <c r="D104" s="389">
        <v>41581.0</v>
      </c>
      <c r="E104" s="8">
        <v>100.0</v>
      </c>
      <c r="H104" s="388">
        <f t="shared" si="2"/>
        <v>944.5</v>
      </c>
    </row>
    <row r="105" ht="15.75" customHeight="1">
      <c r="A105" s="388">
        <v>945.0</v>
      </c>
      <c r="B105" s="389">
        <v>1794169.0</v>
      </c>
      <c r="C105" s="389">
        <f t="shared" si="1"/>
        <v>3829169</v>
      </c>
      <c r="D105" s="389">
        <v>41697.9999999</v>
      </c>
      <c r="E105" s="8">
        <v>101.0</v>
      </c>
      <c r="H105" s="388">
        <f t="shared" si="2"/>
        <v>945</v>
      </c>
    </row>
    <row r="106" ht="15.75" customHeight="1">
      <c r="A106" s="388">
        <v>945.5</v>
      </c>
      <c r="B106" s="389">
        <v>1815047.0</v>
      </c>
      <c r="C106" s="389">
        <f t="shared" si="1"/>
        <v>3850047</v>
      </c>
      <c r="D106" s="389">
        <v>41815.0000001</v>
      </c>
      <c r="E106" s="8">
        <v>102.0</v>
      </c>
      <c r="H106" s="388">
        <f t="shared" si="2"/>
        <v>945.5</v>
      </c>
    </row>
    <row r="107" ht="15.75" customHeight="1">
      <c r="A107" s="388">
        <v>946.0</v>
      </c>
      <c r="B107" s="389">
        <v>1835984.0</v>
      </c>
      <c r="C107" s="389">
        <f t="shared" si="1"/>
        <v>3870984</v>
      </c>
      <c r="D107" s="389">
        <v>41932.0</v>
      </c>
      <c r="E107" s="8">
        <v>103.0</v>
      </c>
      <c r="H107" s="388">
        <f t="shared" si="2"/>
        <v>946</v>
      </c>
    </row>
    <row r="108" ht="15.75" customHeight="1">
      <c r="A108" s="388">
        <v>946.5</v>
      </c>
      <c r="B108" s="389">
        <v>1856979.0</v>
      </c>
      <c r="C108" s="389">
        <f t="shared" si="1"/>
        <v>3891979</v>
      </c>
      <c r="D108" s="389">
        <v>42048.9999999</v>
      </c>
      <c r="E108" s="8">
        <v>104.0</v>
      </c>
      <c r="H108" s="388">
        <f t="shared" si="2"/>
        <v>946.5</v>
      </c>
    </row>
    <row r="109" ht="15.75" customHeight="1">
      <c r="A109" s="388">
        <v>947.0</v>
      </c>
      <c r="B109" s="389">
        <v>1878033.0</v>
      </c>
      <c r="C109" s="389">
        <f t="shared" si="1"/>
        <v>3913033</v>
      </c>
      <c r="D109" s="389">
        <v>42166.0</v>
      </c>
      <c r="E109" s="8">
        <v>105.0</v>
      </c>
      <c r="H109" s="388">
        <f t="shared" si="2"/>
        <v>947</v>
      </c>
    </row>
    <row r="110" ht="15.75" customHeight="1">
      <c r="A110" s="388">
        <v>947.5</v>
      </c>
      <c r="B110" s="389">
        <v>1899145.0</v>
      </c>
      <c r="C110" s="389">
        <f t="shared" si="1"/>
        <v>3934145</v>
      </c>
      <c r="D110" s="389">
        <v>42282.9999999</v>
      </c>
      <c r="E110" s="8">
        <v>106.0</v>
      </c>
      <c r="H110" s="388">
        <f t="shared" si="2"/>
        <v>947.5</v>
      </c>
    </row>
    <row r="111" ht="15.75" customHeight="1">
      <c r="A111" s="388">
        <v>948.0</v>
      </c>
      <c r="B111" s="389">
        <v>1920316.0</v>
      </c>
      <c r="C111" s="389">
        <f t="shared" si="1"/>
        <v>3955316</v>
      </c>
      <c r="D111" s="389">
        <v>42400.0000001</v>
      </c>
      <c r="E111" s="8">
        <v>107.0</v>
      </c>
      <c r="H111" s="388">
        <f t="shared" si="2"/>
        <v>948</v>
      </c>
    </row>
    <row r="112" ht="15.75" customHeight="1">
      <c r="A112" s="388">
        <v>948.5</v>
      </c>
      <c r="B112" s="389">
        <v>1941545.0</v>
      </c>
      <c r="C112" s="389">
        <f t="shared" si="1"/>
        <v>3976545</v>
      </c>
      <c r="D112" s="389">
        <v>42518.0000001</v>
      </c>
      <c r="E112" s="8">
        <v>108.0</v>
      </c>
      <c r="H112" s="388">
        <f t="shared" si="2"/>
        <v>948.5</v>
      </c>
    </row>
    <row r="113" ht="15.75" customHeight="1">
      <c r="A113" s="388">
        <v>949.0</v>
      </c>
      <c r="B113" s="389">
        <v>1962834.0</v>
      </c>
      <c r="C113" s="389">
        <f t="shared" si="1"/>
        <v>3997834</v>
      </c>
      <c r="D113" s="389">
        <v>42635.0</v>
      </c>
      <c r="E113" s="8">
        <v>109.0</v>
      </c>
      <c r="H113" s="388">
        <f t="shared" si="2"/>
        <v>949</v>
      </c>
    </row>
    <row r="114" ht="15.75" customHeight="1">
      <c r="A114" s="388">
        <v>949.5</v>
      </c>
      <c r="B114" s="389">
        <v>1984180.0</v>
      </c>
      <c r="C114" s="389">
        <f t="shared" si="1"/>
        <v>4019180</v>
      </c>
      <c r="D114" s="389">
        <v>42751.9999999</v>
      </c>
      <c r="E114" s="8">
        <v>110.0</v>
      </c>
      <c r="H114" s="388">
        <f t="shared" si="2"/>
        <v>949.5</v>
      </c>
    </row>
    <row r="115" ht="15.75" customHeight="1">
      <c r="A115" s="388">
        <v>950.0</v>
      </c>
      <c r="B115" s="389">
        <v>2005585.0</v>
      </c>
      <c r="C115" s="389">
        <f t="shared" si="1"/>
        <v>4040585</v>
      </c>
      <c r="D115" s="389">
        <v>42869.0</v>
      </c>
      <c r="E115" s="8">
        <v>111.0</v>
      </c>
      <c r="H115" s="388">
        <f t="shared" si="2"/>
        <v>950</v>
      </c>
    </row>
    <row r="116" ht="15.75" customHeight="1">
      <c r="A116" s="388">
        <v>950.5</v>
      </c>
      <c r="B116" s="389">
        <v>2027052.0</v>
      </c>
      <c r="C116" s="389">
        <f t="shared" si="1"/>
        <v>4062052</v>
      </c>
      <c r="D116" s="389">
        <v>42999.0000001</v>
      </c>
      <c r="E116" s="8">
        <v>112.0</v>
      </c>
      <c r="H116" s="388">
        <f t="shared" si="2"/>
        <v>950.5</v>
      </c>
    </row>
    <row r="117" ht="15.75" customHeight="1">
      <c r="A117" s="388">
        <v>951.0</v>
      </c>
      <c r="B117" s="389">
        <v>2048584.0</v>
      </c>
      <c r="C117" s="389">
        <f t="shared" si="1"/>
        <v>4083584</v>
      </c>
      <c r="D117" s="389">
        <v>43127.9999999</v>
      </c>
      <c r="E117" s="8">
        <v>113.0</v>
      </c>
      <c r="H117" s="388">
        <f t="shared" si="2"/>
        <v>951</v>
      </c>
    </row>
    <row r="118" ht="15.75" customHeight="1">
      <c r="A118" s="388">
        <v>951.5</v>
      </c>
      <c r="B118" s="389">
        <v>2070180.0</v>
      </c>
      <c r="C118" s="389">
        <f t="shared" si="1"/>
        <v>4105180</v>
      </c>
      <c r="D118" s="389">
        <v>43258.0</v>
      </c>
      <c r="E118" s="8">
        <v>114.0</v>
      </c>
      <c r="H118" s="388">
        <f t="shared" si="2"/>
        <v>951.5</v>
      </c>
    </row>
    <row r="119" ht="15.75" customHeight="1">
      <c r="A119" s="388">
        <v>952.0</v>
      </c>
      <c r="B119" s="389">
        <v>2091842.0</v>
      </c>
      <c r="C119" s="389">
        <f t="shared" si="1"/>
        <v>4126842</v>
      </c>
      <c r="D119" s="389">
        <v>43387.0000001</v>
      </c>
      <c r="E119" s="8">
        <v>115.0</v>
      </c>
      <c r="H119" s="388">
        <f t="shared" si="2"/>
        <v>952</v>
      </c>
    </row>
    <row r="120" ht="15.75" customHeight="1">
      <c r="A120" s="388">
        <v>952.5</v>
      </c>
      <c r="B120" s="389">
        <v>2113568.0</v>
      </c>
      <c r="C120" s="389">
        <f t="shared" si="1"/>
        <v>4148568</v>
      </c>
      <c r="D120" s="389">
        <v>43517.0000001</v>
      </c>
      <c r="E120" s="8">
        <v>116.0</v>
      </c>
      <c r="H120" s="388">
        <f t="shared" si="2"/>
        <v>952.5</v>
      </c>
    </row>
    <row r="121" ht="15.75" customHeight="1">
      <c r="A121" s="388">
        <v>953.0</v>
      </c>
      <c r="B121" s="389">
        <v>2135358.0</v>
      </c>
      <c r="C121" s="389">
        <f t="shared" si="1"/>
        <v>4170358</v>
      </c>
      <c r="D121" s="389">
        <v>43646.9999999</v>
      </c>
      <c r="E121" s="8">
        <v>117.0</v>
      </c>
      <c r="H121" s="388">
        <f t="shared" si="2"/>
        <v>953</v>
      </c>
    </row>
    <row r="122" ht="15.75" customHeight="1">
      <c r="A122" s="388">
        <v>953.5</v>
      </c>
      <c r="B122" s="389">
        <v>2157214.0</v>
      </c>
      <c r="C122" s="389">
        <f t="shared" si="1"/>
        <v>4192214</v>
      </c>
      <c r="D122" s="389">
        <v>43776.0</v>
      </c>
      <c r="E122" s="8">
        <v>118.0</v>
      </c>
      <c r="H122" s="388">
        <f t="shared" si="2"/>
        <v>953.5</v>
      </c>
    </row>
    <row r="123" ht="15.75" customHeight="1">
      <c r="A123" s="388">
        <v>954.0</v>
      </c>
      <c r="B123" s="389">
        <v>2179135.0</v>
      </c>
      <c r="C123" s="389">
        <f t="shared" si="1"/>
        <v>4214135</v>
      </c>
      <c r="D123" s="389">
        <v>43906.0</v>
      </c>
      <c r="E123" s="8">
        <v>119.0</v>
      </c>
      <c r="H123" s="388">
        <f t="shared" si="2"/>
        <v>954</v>
      </c>
    </row>
    <row r="124" ht="15.75" customHeight="1">
      <c r="A124" s="388">
        <v>954.5</v>
      </c>
      <c r="B124" s="389">
        <v>2201120.0</v>
      </c>
      <c r="C124" s="389">
        <f t="shared" si="1"/>
        <v>4236120</v>
      </c>
      <c r="D124" s="389">
        <v>44034.9999999</v>
      </c>
      <c r="E124" s="8">
        <v>120.0</v>
      </c>
      <c r="H124" s="388">
        <f t="shared" si="2"/>
        <v>954.5</v>
      </c>
    </row>
    <row r="125" ht="15.75" customHeight="1">
      <c r="A125" s="388">
        <v>955.0</v>
      </c>
      <c r="B125" s="389">
        <v>2223170.0</v>
      </c>
      <c r="C125" s="389">
        <f t="shared" si="1"/>
        <v>4258170</v>
      </c>
      <c r="D125" s="389">
        <v>44164.9999999</v>
      </c>
      <c r="E125" s="8">
        <v>121.0</v>
      </c>
      <c r="H125" s="388">
        <f t="shared" si="2"/>
        <v>955</v>
      </c>
    </row>
    <row r="126" ht="15.75" customHeight="1">
      <c r="A126" s="388">
        <v>955.5</v>
      </c>
      <c r="B126" s="389">
        <v>2245285.0</v>
      </c>
      <c r="C126" s="389">
        <f t="shared" si="1"/>
        <v>4280285</v>
      </c>
      <c r="D126" s="389">
        <v>44294.9999999</v>
      </c>
      <c r="E126" s="8">
        <v>122.0</v>
      </c>
      <c r="H126" s="388">
        <f t="shared" si="2"/>
        <v>955.5</v>
      </c>
    </row>
    <row r="127" ht="15.75" customHeight="1">
      <c r="A127" s="388">
        <v>956.0</v>
      </c>
      <c r="B127" s="389">
        <v>2267464.0</v>
      </c>
      <c r="C127" s="389">
        <f t="shared" si="1"/>
        <v>4302464</v>
      </c>
      <c r="D127" s="389">
        <v>44424.0000001</v>
      </c>
      <c r="E127" s="8">
        <v>123.0</v>
      </c>
      <c r="H127" s="388">
        <f t="shared" si="2"/>
        <v>956</v>
      </c>
    </row>
    <row r="128" ht="15.75" customHeight="1">
      <c r="A128" s="388">
        <v>956.5</v>
      </c>
      <c r="B128" s="389">
        <v>2289709.0</v>
      </c>
      <c r="C128" s="389">
        <f t="shared" si="1"/>
        <v>4324709</v>
      </c>
      <c r="D128" s="389">
        <v>44554.0000001</v>
      </c>
      <c r="E128" s="8">
        <v>124.0</v>
      </c>
      <c r="H128" s="388">
        <f t="shared" si="2"/>
        <v>956.5</v>
      </c>
    </row>
    <row r="129" ht="15.75" customHeight="1">
      <c r="A129" s="388">
        <v>957.0</v>
      </c>
      <c r="B129" s="389">
        <v>2312018.0</v>
      </c>
      <c r="C129" s="389">
        <f t="shared" si="1"/>
        <v>4347018</v>
      </c>
      <c r="D129" s="389">
        <v>44683.0</v>
      </c>
      <c r="E129" s="8">
        <v>125.0</v>
      </c>
      <c r="H129" s="388">
        <f t="shared" si="2"/>
        <v>957</v>
      </c>
    </row>
    <row r="130" ht="15.75" customHeight="1">
      <c r="A130" s="388">
        <v>957.5</v>
      </c>
      <c r="B130" s="389">
        <v>2334392.0</v>
      </c>
      <c r="C130" s="389">
        <f t="shared" si="1"/>
        <v>4369392</v>
      </c>
      <c r="D130" s="389">
        <v>44813.0</v>
      </c>
      <c r="E130" s="8">
        <v>126.0</v>
      </c>
      <c r="H130" s="388">
        <f t="shared" si="2"/>
        <v>957.5</v>
      </c>
    </row>
    <row r="131" ht="15.75" customHeight="1">
      <c r="A131" s="388">
        <v>958.0</v>
      </c>
      <c r="B131" s="389">
        <v>2356831.0</v>
      </c>
      <c r="C131" s="389">
        <f t="shared" si="1"/>
        <v>4391831</v>
      </c>
      <c r="D131" s="389">
        <v>44943.0</v>
      </c>
      <c r="E131" s="8">
        <v>127.0</v>
      </c>
      <c r="H131" s="388">
        <f t="shared" si="2"/>
        <v>958</v>
      </c>
    </row>
    <row r="132" ht="15.75" customHeight="1">
      <c r="A132" s="388">
        <v>958.5</v>
      </c>
      <c r="B132" s="389">
        <v>2379335.0</v>
      </c>
      <c r="C132" s="389">
        <f t="shared" si="1"/>
        <v>4414335</v>
      </c>
      <c r="D132" s="389">
        <v>45071.9999999</v>
      </c>
      <c r="E132" s="8">
        <v>128.0</v>
      </c>
      <c r="H132" s="388">
        <f t="shared" si="2"/>
        <v>958.5</v>
      </c>
    </row>
    <row r="133" ht="15.75" customHeight="1">
      <c r="A133" s="388">
        <v>959.0</v>
      </c>
      <c r="B133" s="389">
        <v>2401903.0</v>
      </c>
      <c r="C133" s="389">
        <f t="shared" si="1"/>
        <v>4436903</v>
      </c>
      <c r="D133" s="389">
        <v>45201.9999999</v>
      </c>
      <c r="E133" s="8">
        <v>129.0</v>
      </c>
      <c r="H133" s="388">
        <f t="shared" si="2"/>
        <v>959</v>
      </c>
    </row>
    <row r="134" ht="15.75" customHeight="1">
      <c r="A134" s="388">
        <v>959.5</v>
      </c>
      <c r="B134" s="389">
        <v>2424536.0</v>
      </c>
      <c r="C134" s="389">
        <f t="shared" si="1"/>
        <v>4459536</v>
      </c>
      <c r="D134" s="389">
        <v>45331.0</v>
      </c>
      <c r="E134" s="8">
        <v>130.0</v>
      </c>
      <c r="H134" s="388">
        <f t="shared" si="2"/>
        <v>959.5</v>
      </c>
    </row>
    <row r="135" ht="15.75" customHeight="1">
      <c r="A135" s="388">
        <v>960.0</v>
      </c>
      <c r="B135" s="389">
        <v>2447235.0</v>
      </c>
      <c r="C135" s="389">
        <f t="shared" si="1"/>
        <v>4482235</v>
      </c>
      <c r="D135" s="389">
        <v>45461.0000001</v>
      </c>
      <c r="E135" s="8">
        <v>131.0</v>
      </c>
      <c r="H135" s="388">
        <f t="shared" si="2"/>
        <v>960</v>
      </c>
    </row>
    <row r="136" ht="15.75" customHeight="1">
      <c r="A136" s="388">
        <v>960.5</v>
      </c>
      <c r="B136" s="389">
        <v>2469995.0</v>
      </c>
      <c r="C136" s="389">
        <f t="shared" si="1"/>
        <v>4504995</v>
      </c>
      <c r="D136" s="389">
        <v>45580.0</v>
      </c>
      <c r="E136" s="8">
        <v>132.0</v>
      </c>
      <c r="H136" s="388">
        <f t="shared" si="2"/>
        <v>960.5</v>
      </c>
    </row>
    <row r="137" ht="15.75" customHeight="1">
      <c r="A137" s="388">
        <v>961.0</v>
      </c>
      <c r="B137" s="389">
        <v>2492815.0</v>
      </c>
      <c r="C137" s="389">
        <f t="shared" si="1"/>
        <v>4527815</v>
      </c>
      <c r="D137" s="389">
        <v>45700.0000001</v>
      </c>
      <c r="E137" s="8">
        <v>133.0</v>
      </c>
      <c r="H137" s="388">
        <f t="shared" si="2"/>
        <v>961</v>
      </c>
    </row>
    <row r="138" ht="15.75" customHeight="1">
      <c r="A138" s="388">
        <v>961.5</v>
      </c>
      <c r="B138" s="389">
        <v>2515695.0</v>
      </c>
      <c r="C138" s="389">
        <f t="shared" si="1"/>
        <v>4550695</v>
      </c>
      <c r="D138" s="389">
        <v>45819.0</v>
      </c>
      <c r="E138" s="8">
        <v>134.0</v>
      </c>
      <c r="H138" s="388">
        <f t="shared" si="2"/>
        <v>961.5</v>
      </c>
    </row>
    <row r="139" ht="15.75" customHeight="1">
      <c r="A139" s="388">
        <v>962.0</v>
      </c>
      <c r="B139" s="389">
        <v>2538634.0</v>
      </c>
      <c r="C139" s="389">
        <f t="shared" si="1"/>
        <v>4573634</v>
      </c>
      <c r="D139" s="389">
        <v>45937.9999999</v>
      </c>
      <c r="E139" s="8">
        <v>135.0</v>
      </c>
      <c r="H139" s="388">
        <f t="shared" si="2"/>
        <v>962</v>
      </c>
    </row>
    <row r="140" ht="15.75" customHeight="1">
      <c r="A140" s="388">
        <v>962.5</v>
      </c>
      <c r="B140" s="389">
        <v>2561633.0</v>
      </c>
      <c r="C140" s="389">
        <f t="shared" si="1"/>
        <v>4596633</v>
      </c>
      <c r="D140" s="389">
        <v>46056.9999999</v>
      </c>
      <c r="E140" s="8">
        <v>136.0</v>
      </c>
      <c r="H140" s="388">
        <f t="shared" si="2"/>
        <v>962.5</v>
      </c>
    </row>
    <row r="141" ht="15.75" customHeight="1">
      <c r="A141" s="388">
        <v>963.0</v>
      </c>
      <c r="B141" s="389">
        <v>2584691.0</v>
      </c>
      <c r="C141" s="389">
        <f t="shared" si="1"/>
        <v>4619691</v>
      </c>
      <c r="D141" s="389">
        <v>46177.0</v>
      </c>
      <c r="E141" s="8">
        <v>137.0</v>
      </c>
      <c r="H141" s="388">
        <f t="shared" si="2"/>
        <v>963</v>
      </c>
    </row>
    <row r="142" ht="15.75" customHeight="1">
      <c r="A142" s="388">
        <v>963.5</v>
      </c>
      <c r="B142" s="389">
        <v>2607809.0</v>
      </c>
      <c r="C142" s="389">
        <f t="shared" si="1"/>
        <v>4642809</v>
      </c>
      <c r="D142" s="389">
        <v>46295.9999999</v>
      </c>
      <c r="E142" s="8">
        <v>138.0</v>
      </c>
      <c r="H142" s="388">
        <f t="shared" si="2"/>
        <v>963.5</v>
      </c>
    </row>
    <row r="143" ht="15.75" customHeight="1">
      <c r="A143" s="388">
        <v>964.0</v>
      </c>
      <c r="B143" s="389">
        <v>2630987.0</v>
      </c>
      <c r="C143" s="389">
        <f t="shared" si="1"/>
        <v>4665987</v>
      </c>
      <c r="D143" s="389">
        <v>46415.0000001</v>
      </c>
      <c r="E143" s="8">
        <v>139.0</v>
      </c>
      <c r="H143" s="388">
        <f t="shared" si="2"/>
        <v>964</v>
      </c>
    </row>
    <row r="144" ht="15.75" customHeight="1">
      <c r="A144" s="388">
        <v>964.5</v>
      </c>
      <c r="B144" s="389">
        <v>2654225.0</v>
      </c>
      <c r="C144" s="389">
        <f t="shared" si="1"/>
        <v>4689225</v>
      </c>
      <c r="D144" s="389">
        <v>46534.0</v>
      </c>
      <c r="E144" s="8">
        <v>140.0</v>
      </c>
      <c r="H144" s="388">
        <f t="shared" si="2"/>
        <v>964.5</v>
      </c>
    </row>
    <row r="145" ht="15.75" customHeight="1">
      <c r="A145" s="388">
        <v>965.0</v>
      </c>
      <c r="B145" s="389">
        <v>2677522.0</v>
      </c>
      <c r="C145" s="389">
        <f t="shared" si="1"/>
        <v>4712522</v>
      </c>
      <c r="D145" s="389">
        <v>46654.0000001</v>
      </c>
      <c r="E145" s="8">
        <v>141.0</v>
      </c>
      <c r="H145" s="388">
        <f t="shared" si="2"/>
        <v>965</v>
      </c>
    </row>
    <row r="146" ht="15.75" customHeight="1">
      <c r="A146" s="388">
        <v>965.5</v>
      </c>
      <c r="B146" s="389">
        <v>2700878.0</v>
      </c>
      <c r="C146" s="389">
        <f t="shared" si="1"/>
        <v>4735878</v>
      </c>
      <c r="D146" s="389">
        <v>46773.0</v>
      </c>
      <c r="E146" s="8">
        <v>142.0</v>
      </c>
      <c r="H146" s="388">
        <f t="shared" si="2"/>
        <v>965.5</v>
      </c>
    </row>
    <row r="147" ht="15.75" customHeight="1">
      <c r="A147" s="388">
        <v>966.0</v>
      </c>
      <c r="B147" s="389">
        <v>2724295.0</v>
      </c>
      <c r="C147" s="389">
        <f t="shared" si="1"/>
        <v>4759295</v>
      </c>
      <c r="D147" s="389">
        <v>46892.0</v>
      </c>
      <c r="E147" s="8">
        <v>143.0</v>
      </c>
      <c r="H147" s="388">
        <f t="shared" si="2"/>
        <v>966</v>
      </c>
    </row>
    <row r="148" ht="15.75" customHeight="1">
      <c r="A148" s="388">
        <v>966.5</v>
      </c>
      <c r="B148" s="389">
        <v>2747771.0</v>
      </c>
      <c r="C148" s="389">
        <f t="shared" si="1"/>
        <v>4782771</v>
      </c>
      <c r="D148" s="389">
        <v>47012.0</v>
      </c>
      <c r="E148" s="8">
        <v>144.0</v>
      </c>
      <c r="H148" s="388">
        <f t="shared" si="2"/>
        <v>966.5</v>
      </c>
    </row>
    <row r="149" ht="15.75" customHeight="1">
      <c r="A149" s="388">
        <v>967.0</v>
      </c>
      <c r="B149" s="389">
        <v>2771306.0</v>
      </c>
      <c r="C149" s="389">
        <f t="shared" si="1"/>
        <v>4806306</v>
      </c>
      <c r="D149" s="389">
        <v>47131.0</v>
      </c>
      <c r="E149" s="8">
        <v>145.0</v>
      </c>
      <c r="H149" s="388">
        <f t="shared" si="2"/>
        <v>967</v>
      </c>
    </row>
    <row r="150" ht="15.75" customHeight="1">
      <c r="A150" s="388">
        <v>967.5</v>
      </c>
      <c r="B150" s="389">
        <v>2794901.0</v>
      </c>
      <c r="C150" s="389">
        <f t="shared" si="1"/>
        <v>4829901</v>
      </c>
      <c r="D150" s="389">
        <v>47249.9999999</v>
      </c>
      <c r="E150" s="8">
        <v>146.0</v>
      </c>
      <c r="H150" s="388">
        <f t="shared" si="2"/>
        <v>967.5</v>
      </c>
    </row>
    <row r="151" ht="15.75" customHeight="1">
      <c r="A151" s="388">
        <v>968.0</v>
      </c>
      <c r="B151" s="389">
        <v>2818556.0</v>
      </c>
      <c r="C151" s="389">
        <f t="shared" si="1"/>
        <v>4853556</v>
      </c>
      <c r="D151" s="389">
        <v>47369.0000001</v>
      </c>
      <c r="E151" s="8">
        <v>147.0</v>
      </c>
      <c r="H151" s="388">
        <f t="shared" si="2"/>
        <v>968</v>
      </c>
    </row>
    <row r="152" ht="15.75" customHeight="1">
      <c r="A152" s="388">
        <v>968.5</v>
      </c>
      <c r="B152" s="389">
        <v>2842271.0</v>
      </c>
      <c r="C152" s="389">
        <f t="shared" si="1"/>
        <v>4877271</v>
      </c>
      <c r="D152" s="389">
        <v>47488.9999999</v>
      </c>
      <c r="E152" s="8">
        <v>148.0</v>
      </c>
      <c r="H152" s="388">
        <f t="shared" si="2"/>
        <v>968.5</v>
      </c>
    </row>
    <row r="153" ht="15.75" customHeight="1">
      <c r="A153" s="388">
        <v>969.0</v>
      </c>
      <c r="B153" s="389">
        <v>2866046.0</v>
      </c>
      <c r="C153" s="389">
        <f t="shared" si="1"/>
        <v>4901046</v>
      </c>
      <c r="D153" s="389">
        <v>47608.0000001</v>
      </c>
      <c r="E153" s="8">
        <v>149.0</v>
      </c>
      <c r="H153" s="388">
        <f t="shared" si="2"/>
        <v>969</v>
      </c>
    </row>
    <row r="154" ht="15.75" customHeight="1">
      <c r="A154" s="388">
        <v>969.5</v>
      </c>
      <c r="B154" s="389">
        <v>2889878.0</v>
      </c>
      <c r="C154" s="389">
        <f t="shared" si="1"/>
        <v>4924878</v>
      </c>
      <c r="D154" s="389">
        <v>47727.0</v>
      </c>
      <c r="E154" s="8">
        <v>150.0</v>
      </c>
      <c r="H154" s="388">
        <f t="shared" si="2"/>
        <v>969.5</v>
      </c>
    </row>
    <row r="155" ht="15.75" customHeight="1">
      <c r="A155" s="388">
        <v>970.0</v>
      </c>
      <c r="B155" s="389">
        <v>2913772.0</v>
      </c>
      <c r="C155" s="389">
        <f t="shared" si="1"/>
        <v>4948772</v>
      </c>
      <c r="D155" s="389">
        <v>47847.0000001</v>
      </c>
      <c r="E155" s="8">
        <v>151.0</v>
      </c>
      <c r="H155" s="388">
        <f t="shared" si="2"/>
        <v>970</v>
      </c>
    </row>
    <row r="156" ht="15.75" customHeight="1">
      <c r="A156" s="388">
        <v>970.5</v>
      </c>
      <c r="B156" s="389">
        <v>2937729.0</v>
      </c>
      <c r="C156" s="389">
        <f t="shared" si="1"/>
        <v>4972729</v>
      </c>
      <c r="D156" s="389">
        <v>47981.0</v>
      </c>
      <c r="E156" s="8">
        <v>152.0</v>
      </c>
      <c r="H156" s="388">
        <f t="shared" si="2"/>
        <v>970.5</v>
      </c>
    </row>
    <row r="157" ht="15.75" customHeight="1">
      <c r="A157" s="388">
        <v>971.0</v>
      </c>
      <c r="B157" s="389">
        <v>2961753.0</v>
      </c>
      <c r="C157" s="389">
        <f t="shared" si="1"/>
        <v>4996753</v>
      </c>
      <c r="D157" s="389">
        <v>48113.9999999</v>
      </c>
      <c r="E157" s="8">
        <v>153.0</v>
      </c>
      <c r="H157" s="388">
        <f t="shared" si="2"/>
        <v>971</v>
      </c>
    </row>
    <row r="158" ht="15.75" customHeight="1">
      <c r="A158" s="388">
        <v>971.5</v>
      </c>
      <c r="B158" s="389">
        <v>2985843.0</v>
      </c>
      <c r="C158" s="389">
        <f t="shared" si="1"/>
        <v>5020843</v>
      </c>
      <c r="D158" s="389">
        <v>48248.0</v>
      </c>
      <c r="E158" s="8">
        <v>154.0</v>
      </c>
      <c r="H158" s="388">
        <f t="shared" si="2"/>
        <v>971.5</v>
      </c>
    </row>
    <row r="159" ht="15.75" customHeight="1">
      <c r="A159" s="388">
        <v>972.0</v>
      </c>
      <c r="B159" s="389">
        <v>3010001.0</v>
      </c>
      <c r="C159" s="389">
        <f t="shared" si="1"/>
        <v>5045001</v>
      </c>
      <c r="D159" s="389">
        <v>48382.0000001</v>
      </c>
      <c r="E159" s="8">
        <v>155.0</v>
      </c>
      <c r="H159" s="388">
        <f t="shared" si="2"/>
        <v>972</v>
      </c>
    </row>
    <row r="160" ht="15.75" customHeight="1">
      <c r="A160" s="388">
        <v>972.5</v>
      </c>
      <c r="B160" s="389">
        <v>3034226.0</v>
      </c>
      <c r="C160" s="389">
        <f t="shared" si="1"/>
        <v>5069226</v>
      </c>
      <c r="D160" s="389">
        <v>48516.0</v>
      </c>
      <c r="E160" s="8">
        <v>156.0</v>
      </c>
      <c r="H160" s="388">
        <f t="shared" si="2"/>
        <v>972.5</v>
      </c>
    </row>
    <row r="161" ht="15.75" customHeight="1">
      <c r="A161" s="388">
        <v>973.0</v>
      </c>
      <c r="B161" s="389">
        <v>3058517.0</v>
      </c>
      <c r="C161" s="389">
        <f t="shared" si="1"/>
        <v>5093517</v>
      </c>
      <c r="D161" s="389">
        <v>48650.0000001</v>
      </c>
      <c r="E161" s="8">
        <v>157.0</v>
      </c>
      <c r="H161" s="388">
        <f t="shared" si="2"/>
        <v>973</v>
      </c>
    </row>
    <row r="162" ht="15.75" customHeight="1">
      <c r="A162" s="388">
        <v>973.5</v>
      </c>
      <c r="B162" s="389">
        <v>3082876.0</v>
      </c>
      <c r="C162" s="389">
        <f t="shared" si="1"/>
        <v>5117876</v>
      </c>
      <c r="D162" s="389">
        <v>48783.9999999</v>
      </c>
      <c r="E162" s="8">
        <v>158.0</v>
      </c>
      <c r="H162" s="388">
        <f t="shared" si="2"/>
        <v>973.5</v>
      </c>
    </row>
    <row r="163" ht="15.75" customHeight="1">
      <c r="A163" s="388">
        <v>974.0</v>
      </c>
      <c r="B163" s="389">
        <v>3107301.0</v>
      </c>
      <c r="C163" s="389">
        <f t="shared" si="1"/>
        <v>5142301</v>
      </c>
      <c r="D163" s="389">
        <v>48918.0</v>
      </c>
      <c r="E163" s="8">
        <v>159.0</v>
      </c>
      <c r="H163" s="388">
        <f t="shared" si="2"/>
        <v>974</v>
      </c>
    </row>
    <row r="164" ht="15.75" customHeight="1">
      <c r="A164" s="388">
        <v>974.5</v>
      </c>
      <c r="B164" s="389">
        <v>3131794.0</v>
      </c>
      <c r="C164" s="389">
        <f t="shared" si="1"/>
        <v>5166794</v>
      </c>
      <c r="D164" s="389">
        <v>49052.0000001</v>
      </c>
      <c r="E164" s="8">
        <v>160.0</v>
      </c>
      <c r="H164" s="388">
        <f t="shared" si="2"/>
        <v>974.5</v>
      </c>
    </row>
    <row r="165" ht="15.75" customHeight="1">
      <c r="A165" s="388">
        <v>975.0</v>
      </c>
      <c r="B165" s="389">
        <v>3156353.0</v>
      </c>
      <c r="C165" s="389">
        <f t="shared" si="1"/>
        <v>5191353</v>
      </c>
      <c r="D165" s="389">
        <v>49186.0</v>
      </c>
      <c r="E165" s="8">
        <v>161.0</v>
      </c>
      <c r="H165" s="388">
        <f t="shared" si="2"/>
        <v>975</v>
      </c>
    </row>
    <row r="166" ht="15.75" customHeight="1">
      <c r="A166" s="388">
        <v>975.5</v>
      </c>
      <c r="B166" s="389">
        <v>3180979.0</v>
      </c>
      <c r="C166" s="389">
        <f t="shared" si="1"/>
        <v>5215979</v>
      </c>
      <c r="D166" s="389">
        <v>49320.0000001</v>
      </c>
      <c r="E166" s="8">
        <v>162.0</v>
      </c>
      <c r="H166" s="388">
        <f t="shared" si="2"/>
        <v>975.5</v>
      </c>
    </row>
    <row r="167" ht="15.75" customHeight="1">
      <c r="A167" s="388">
        <v>976.0</v>
      </c>
      <c r="B167" s="389">
        <v>3205673.0</v>
      </c>
      <c r="C167" s="389">
        <f t="shared" si="1"/>
        <v>5240673</v>
      </c>
      <c r="D167" s="389">
        <v>49453.9999999</v>
      </c>
      <c r="E167" s="8">
        <v>163.0</v>
      </c>
      <c r="H167" s="388">
        <f t="shared" si="2"/>
        <v>976</v>
      </c>
    </row>
    <row r="168" ht="15.75" customHeight="1">
      <c r="A168" s="388">
        <v>976.5</v>
      </c>
      <c r="B168" s="389">
        <v>3230433.0</v>
      </c>
      <c r="C168" s="389">
        <f t="shared" si="1"/>
        <v>5265433</v>
      </c>
      <c r="D168" s="389">
        <v>49587.0000001</v>
      </c>
      <c r="E168" s="8">
        <v>164.0</v>
      </c>
      <c r="H168" s="388">
        <f t="shared" si="2"/>
        <v>976.5</v>
      </c>
    </row>
    <row r="169" ht="15.75" customHeight="1">
      <c r="A169" s="388">
        <v>977.0</v>
      </c>
      <c r="B169" s="389">
        <v>3255260.0</v>
      </c>
      <c r="C169" s="389">
        <f t="shared" si="1"/>
        <v>5290260</v>
      </c>
      <c r="D169" s="389">
        <v>49721.0</v>
      </c>
      <c r="E169" s="8">
        <v>165.0</v>
      </c>
      <c r="H169" s="388">
        <f t="shared" si="2"/>
        <v>977</v>
      </c>
    </row>
    <row r="170" ht="15.75" customHeight="1">
      <c r="A170" s="388">
        <v>977.5</v>
      </c>
      <c r="B170" s="389">
        <v>3280154.0</v>
      </c>
      <c r="C170" s="389">
        <f t="shared" si="1"/>
        <v>5315154</v>
      </c>
      <c r="D170" s="389">
        <v>49855.0000001</v>
      </c>
      <c r="E170" s="8">
        <v>166.0</v>
      </c>
      <c r="H170" s="388">
        <f t="shared" si="2"/>
        <v>977.5</v>
      </c>
    </row>
    <row r="171" ht="15.75" customHeight="1">
      <c r="A171" s="388">
        <v>978.0</v>
      </c>
      <c r="B171" s="389">
        <v>3305115.0</v>
      </c>
      <c r="C171" s="389">
        <f t="shared" si="1"/>
        <v>5340115</v>
      </c>
      <c r="D171" s="389">
        <v>49988.9999999</v>
      </c>
      <c r="E171" s="8">
        <v>167.0</v>
      </c>
      <c r="H171" s="388">
        <f t="shared" si="2"/>
        <v>978</v>
      </c>
    </row>
    <row r="172" ht="15.75" customHeight="1">
      <c r="A172" s="388">
        <v>978.5</v>
      </c>
      <c r="B172" s="389">
        <v>3330143.0</v>
      </c>
      <c r="C172" s="389">
        <f t="shared" si="1"/>
        <v>5365143</v>
      </c>
      <c r="D172" s="389">
        <v>50123.0</v>
      </c>
      <c r="E172" s="8">
        <v>168.0</v>
      </c>
      <c r="H172" s="388">
        <f t="shared" si="2"/>
        <v>978.5</v>
      </c>
    </row>
    <row r="173" ht="15.75" customHeight="1">
      <c r="A173" s="388">
        <v>979.0</v>
      </c>
      <c r="B173" s="389">
        <v>3355238.0</v>
      </c>
      <c r="C173" s="389">
        <f t="shared" si="1"/>
        <v>5390238</v>
      </c>
      <c r="D173" s="389">
        <v>50257.0000001</v>
      </c>
      <c r="E173" s="8">
        <v>169.0</v>
      </c>
      <c r="H173" s="388">
        <f t="shared" si="2"/>
        <v>979</v>
      </c>
    </row>
    <row r="174" ht="15.75" customHeight="1">
      <c r="A174" s="388">
        <v>979.5</v>
      </c>
      <c r="B174" s="389">
        <v>3380401.0</v>
      </c>
      <c r="C174" s="389">
        <f t="shared" si="1"/>
        <v>5415401</v>
      </c>
      <c r="D174" s="389">
        <v>50391.0</v>
      </c>
      <c r="E174" s="8">
        <v>170.0</v>
      </c>
      <c r="H174" s="388">
        <f t="shared" si="2"/>
        <v>979.5</v>
      </c>
    </row>
    <row r="175" ht="15.75" customHeight="1">
      <c r="A175" s="388">
        <v>980.0</v>
      </c>
      <c r="B175" s="389">
        <v>3405630.0</v>
      </c>
      <c r="C175" s="389">
        <f t="shared" si="1"/>
        <v>5440630</v>
      </c>
      <c r="D175" s="389">
        <v>50525.0000001</v>
      </c>
      <c r="E175" s="8">
        <v>171.0</v>
      </c>
      <c r="H175" s="388">
        <f t="shared" si="2"/>
        <v>980</v>
      </c>
    </row>
    <row r="176" ht="15.75" customHeight="1">
      <c r="A176" s="388">
        <v>980.5</v>
      </c>
      <c r="B176" s="389">
        <v>3430929.0</v>
      </c>
      <c r="C176" s="389">
        <f t="shared" si="1"/>
        <v>5465929</v>
      </c>
      <c r="D176" s="389">
        <v>50674.0000001</v>
      </c>
      <c r="E176" s="8">
        <v>172.0</v>
      </c>
      <c r="H176" s="388">
        <f t="shared" si="2"/>
        <v>980.5</v>
      </c>
    </row>
    <row r="177" ht="15.75" customHeight="1">
      <c r="A177" s="388">
        <v>981.0</v>
      </c>
      <c r="B177" s="389">
        <v>3456303.0</v>
      </c>
      <c r="C177" s="389">
        <f t="shared" si="1"/>
        <v>5491303</v>
      </c>
      <c r="D177" s="389">
        <v>50824.0</v>
      </c>
      <c r="E177" s="8">
        <v>173.0</v>
      </c>
      <c r="H177" s="388">
        <f t="shared" si="2"/>
        <v>981</v>
      </c>
    </row>
    <row r="178" ht="15.75" customHeight="1">
      <c r="A178" s="388">
        <v>981.5</v>
      </c>
      <c r="B178" s="389">
        <v>3481753.0</v>
      </c>
      <c r="C178" s="389">
        <f t="shared" si="1"/>
        <v>5516753</v>
      </c>
      <c r="D178" s="389">
        <v>50973.9999999</v>
      </c>
      <c r="E178" s="8">
        <v>174.0</v>
      </c>
      <c r="H178" s="388">
        <f t="shared" si="2"/>
        <v>981.5</v>
      </c>
    </row>
    <row r="179" ht="15.75" customHeight="1">
      <c r="A179" s="388">
        <v>982.0</v>
      </c>
      <c r="B179" s="389">
        <v>3507278.0</v>
      </c>
      <c r="C179" s="389">
        <f t="shared" si="1"/>
        <v>5542278</v>
      </c>
      <c r="D179" s="389">
        <v>51122.9999999</v>
      </c>
      <c r="E179" s="8">
        <v>175.0</v>
      </c>
      <c r="H179" s="388">
        <f t="shared" si="2"/>
        <v>982</v>
      </c>
    </row>
    <row r="180" ht="15.75" customHeight="1">
      <c r="A180" s="388">
        <v>982.5</v>
      </c>
      <c r="B180" s="389">
        <v>3532877.0</v>
      </c>
      <c r="C180" s="389">
        <f t="shared" si="1"/>
        <v>5567877</v>
      </c>
      <c r="D180" s="389">
        <v>51273.0000001</v>
      </c>
      <c r="E180" s="8">
        <v>176.0</v>
      </c>
      <c r="H180" s="388">
        <f t="shared" si="2"/>
        <v>982.5</v>
      </c>
    </row>
    <row r="181" ht="15.75" customHeight="1">
      <c r="A181" s="388">
        <v>983.0</v>
      </c>
      <c r="B181" s="389">
        <v>3558550.0</v>
      </c>
      <c r="C181" s="389">
        <f t="shared" si="1"/>
        <v>5593550</v>
      </c>
      <c r="D181" s="389">
        <v>51423.0</v>
      </c>
      <c r="E181" s="8">
        <v>177.0</v>
      </c>
      <c r="H181" s="388">
        <f t="shared" si="2"/>
        <v>983</v>
      </c>
    </row>
    <row r="182" ht="15.75" customHeight="1">
      <c r="A182" s="388">
        <v>983.5</v>
      </c>
      <c r="B182" s="389">
        <v>3584299.0</v>
      </c>
      <c r="C182" s="389">
        <f t="shared" si="1"/>
        <v>5619299</v>
      </c>
      <c r="D182" s="389">
        <v>51572.0</v>
      </c>
      <c r="E182" s="8">
        <v>178.0</v>
      </c>
      <c r="H182" s="388">
        <f t="shared" si="2"/>
        <v>983.5</v>
      </c>
    </row>
    <row r="183" ht="15.75" customHeight="1">
      <c r="A183" s="388">
        <v>984.0</v>
      </c>
      <c r="B183" s="389">
        <v>3610123.0</v>
      </c>
      <c r="C183" s="389">
        <f t="shared" si="1"/>
        <v>5645123</v>
      </c>
      <c r="D183" s="389">
        <v>51721.9999999</v>
      </c>
      <c r="E183" s="8">
        <v>179.0</v>
      </c>
      <c r="H183" s="388">
        <f t="shared" si="2"/>
        <v>984</v>
      </c>
    </row>
    <row r="184" ht="15.75" customHeight="1">
      <c r="A184" s="388">
        <v>984.5</v>
      </c>
      <c r="B184" s="389">
        <v>3636021.0</v>
      </c>
      <c r="C184" s="389">
        <f t="shared" si="1"/>
        <v>5671021</v>
      </c>
      <c r="D184" s="389">
        <v>51872.0000001</v>
      </c>
      <c r="E184" s="8">
        <v>180.0</v>
      </c>
      <c r="H184" s="388">
        <f t="shared" si="2"/>
        <v>984.5</v>
      </c>
    </row>
    <row r="185" ht="15.75" customHeight="1">
      <c r="A185" s="388">
        <v>985.0</v>
      </c>
      <c r="B185" s="389">
        <v>3661994.0</v>
      </c>
      <c r="C185" s="389">
        <f t="shared" si="1"/>
        <v>5696994</v>
      </c>
      <c r="D185" s="389">
        <v>52021.0000001</v>
      </c>
      <c r="E185" s="8">
        <v>181.0</v>
      </c>
      <c r="H185" s="388">
        <f t="shared" si="2"/>
        <v>985</v>
      </c>
    </row>
    <row r="186" ht="15.75" customHeight="1">
      <c r="A186" s="388">
        <v>985.5</v>
      </c>
      <c r="B186" s="389">
        <v>3688042.0</v>
      </c>
      <c r="C186" s="389">
        <f t="shared" si="1"/>
        <v>5723042</v>
      </c>
      <c r="D186" s="389">
        <v>52171.0</v>
      </c>
      <c r="E186" s="8">
        <v>182.0</v>
      </c>
      <c r="H186" s="388">
        <f t="shared" si="2"/>
        <v>985.5</v>
      </c>
    </row>
    <row r="187" ht="15.75" customHeight="1">
      <c r="A187" s="388">
        <v>986.0</v>
      </c>
      <c r="B187" s="389">
        <v>3714165.0</v>
      </c>
      <c r="C187" s="389">
        <f t="shared" si="1"/>
        <v>5749165</v>
      </c>
      <c r="D187" s="389">
        <v>52320.9999999</v>
      </c>
      <c r="E187" s="8">
        <v>183.0</v>
      </c>
      <c r="H187" s="388">
        <f t="shared" si="2"/>
        <v>986</v>
      </c>
    </row>
    <row r="188" ht="15.75" customHeight="1">
      <c r="A188" s="388">
        <v>986.5</v>
      </c>
      <c r="B188" s="389">
        <v>3740363.0</v>
      </c>
      <c r="C188" s="389">
        <f t="shared" si="1"/>
        <v>5775363</v>
      </c>
      <c r="D188" s="389">
        <v>52469.9999999</v>
      </c>
      <c r="E188" s="8">
        <v>184.0</v>
      </c>
      <c r="H188" s="388">
        <f t="shared" si="2"/>
        <v>986.5</v>
      </c>
    </row>
    <row r="189" ht="15.75" customHeight="1">
      <c r="A189" s="388">
        <v>987.0</v>
      </c>
      <c r="B189" s="389">
        <v>3766635.0</v>
      </c>
      <c r="C189" s="389">
        <f t="shared" si="1"/>
        <v>5801635</v>
      </c>
      <c r="D189" s="389">
        <v>52620.0000001</v>
      </c>
      <c r="E189" s="8">
        <v>185.0</v>
      </c>
      <c r="H189" s="388">
        <f t="shared" si="2"/>
        <v>987</v>
      </c>
    </row>
    <row r="190" ht="15.75" customHeight="1">
      <c r="A190" s="388">
        <v>987.5</v>
      </c>
      <c r="B190" s="389">
        <v>3792982.0</v>
      </c>
      <c r="C190" s="389">
        <f t="shared" si="1"/>
        <v>5827982</v>
      </c>
      <c r="D190" s="389">
        <v>52769.0000001</v>
      </c>
      <c r="E190" s="8">
        <v>186.0</v>
      </c>
      <c r="H190" s="388">
        <f t="shared" si="2"/>
        <v>987.5</v>
      </c>
    </row>
    <row r="191" ht="15.75" customHeight="1">
      <c r="A191" s="388">
        <v>988.0</v>
      </c>
      <c r="B191" s="389">
        <v>3819405.0</v>
      </c>
      <c r="C191" s="389">
        <f t="shared" si="1"/>
        <v>5854405</v>
      </c>
      <c r="D191" s="389">
        <v>52919.0</v>
      </c>
      <c r="E191" s="8">
        <v>187.0</v>
      </c>
      <c r="H191" s="388">
        <f t="shared" si="2"/>
        <v>988</v>
      </c>
    </row>
    <row r="192" ht="15.75" customHeight="1">
      <c r="A192" s="388">
        <v>988.5</v>
      </c>
      <c r="B192" s="389">
        <v>3845902.0</v>
      </c>
      <c r="C192" s="389">
        <f t="shared" si="1"/>
        <v>5880902</v>
      </c>
      <c r="D192" s="389">
        <v>53068.9999999</v>
      </c>
      <c r="E192" s="8">
        <v>188.0</v>
      </c>
      <c r="H192" s="388">
        <f t="shared" si="2"/>
        <v>988.5</v>
      </c>
    </row>
    <row r="193" ht="15.75" customHeight="1">
      <c r="A193" s="388">
        <v>989.0</v>
      </c>
      <c r="B193" s="389">
        <v>3872474.0</v>
      </c>
      <c r="C193" s="389">
        <f t="shared" si="1"/>
        <v>5907474</v>
      </c>
      <c r="D193" s="389">
        <v>53217.9999999</v>
      </c>
      <c r="E193" s="8">
        <v>189.0</v>
      </c>
      <c r="H193" s="388">
        <f t="shared" si="2"/>
        <v>989</v>
      </c>
    </row>
    <row r="194" ht="15.75" customHeight="1">
      <c r="A194" s="388">
        <v>989.5</v>
      </c>
      <c r="B194" s="389">
        <v>3899120.0</v>
      </c>
      <c r="C194" s="389">
        <f t="shared" si="1"/>
        <v>5934120</v>
      </c>
      <c r="D194" s="389">
        <v>53368.0000001</v>
      </c>
      <c r="E194" s="8">
        <v>190.0</v>
      </c>
      <c r="H194" s="388">
        <f t="shared" si="2"/>
        <v>989.5</v>
      </c>
    </row>
    <row r="195" ht="15.75" customHeight="1">
      <c r="A195" s="388">
        <v>990.0</v>
      </c>
      <c r="B195" s="389">
        <v>3925842.0</v>
      </c>
      <c r="C195" s="389">
        <f t="shared" si="1"/>
        <v>5960842</v>
      </c>
      <c r="D195" s="389">
        <v>53518.0</v>
      </c>
      <c r="E195" s="8">
        <v>191.0</v>
      </c>
      <c r="H195" s="388">
        <f t="shared" si="2"/>
        <v>990</v>
      </c>
    </row>
    <row r="196" ht="15.75" customHeight="1">
      <c r="A196" s="388">
        <v>990.5</v>
      </c>
      <c r="B196" s="389">
        <v>3952636.0</v>
      </c>
      <c r="C196" s="389">
        <f t="shared" si="1"/>
        <v>5987636</v>
      </c>
      <c r="D196" s="389">
        <v>53660.0</v>
      </c>
      <c r="E196" s="8">
        <v>192.0</v>
      </c>
      <c r="H196" s="388">
        <f t="shared" si="2"/>
        <v>990.5</v>
      </c>
    </row>
    <row r="197" ht="15.75" customHeight="1">
      <c r="A197" s="388">
        <v>991.0</v>
      </c>
      <c r="B197" s="389">
        <v>3979502.0</v>
      </c>
      <c r="C197" s="389">
        <f t="shared" si="1"/>
        <v>6014502</v>
      </c>
      <c r="D197" s="389">
        <v>53802.9999999</v>
      </c>
      <c r="E197" s="8">
        <v>193.0</v>
      </c>
      <c r="H197" s="388">
        <f t="shared" si="2"/>
        <v>991</v>
      </c>
    </row>
    <row r="198" ht="15.75" customHeight="1">
      <c r="A198" s="388">
        <v>991.5</v>
      </c>
      <c r="B198" s="389">
        <v>4006440.0</v>
      </c>
      <c r="C198" s="389">
        <f t="shared" si="1"/>
        <v>6041440</v>
      </c>
      <c r="D198" s="389">
        <v>53946.0000001</v>
      </c>
      <c r="E198" s="8">
        <v>194.0</v>
      </c>
      <c r="H198" s="388">
        <f t="shared" si="2"/>
        <v>991.5</v>
      </c>
    </row>
    <row r="199" ht="15.75" customHeight="1">
      <c r="A199" s="388">
        <v>992.0</v>
      </c>
      <c r="B199" s="389">
        <v>4033448.0</v>
      </c>
      <c r="C199" s="389">
        <f t="shared" si="1"/>
        <v>6068448</v>
      </c>
      <c r="D199" s="389">
        <v>54089.0</v>
      </c>
      <c r="E199" s="8">
        <v>195.0</v>
      </c>
      <c r="H199" s="388">
        <f t="shared" si="2"/>
        <v>992</v>
      </c>
    </row>
    <row r="200" ht="15.75" customHeight="1">
      <c r="A200" s="388">
        <v>992.5</v>
      </c>
      <c r="B200" s="389">
        <v>4060528.0</v>
      </c>
      <c r="C200" s="389">
        <f t="shared" si="1"/>
        <v>6095528</v>
      </c>
      <c r="D200" s="389">
        <v>54232.0000001</v>
      </c>
      <c r="E200" s="8">
        <v>196.0</v>
      </c>
      <c r="H200" s="388">
        <f t="shared" si="2"/>
        <v>992.5</v>
      </c>
    </row>
    <row r="201" ht="15.75" customHeight="1">
      <c r="A201" s="388">
        <v>993.0</v>
      </c>
      <c r="B201" s="389">
        <v>4087680.0</v>
      </c>
      <c r="C201" s="389">
        <f t="shared" si="1"/>
        <v>6122680</v>
      </c>
      <c r="D201" s="389">
        <v>54375.0</v>
      </c>
      <c r="E201" s="8">
        <v>197.0</v>
      </c>
      <c r="H201" s="388">
        <f t="shared" si="2"/>
        <v>993</v>
      </c>
    </row>
    <row r="202" ht="15.75" customHeight="1">
      <c r="A202" s="388">
        <v>993.5</v>
      </c>
      <c r="B202" s="389">
        <v>4114903.0</v>
      </c>
      <c r="C202" s="389">
        <f t="shared" si="1"/>
        <v>6149903</v>
      </c>
      <c r="D202" s="389">
        <v>54517.0</v>
      </c>
      <c r="E202" s="8">
        <v>198.0</v>
      </c>
      <c r="H202" s="388">
        <f t="shared" si="2"/>
        <v>993.5</v>
      </c>
    </row>
    <row r="203" ht="15.75" customHeight="1">
      <c r="A203" s="388">
        <v>994.0</v>
      </c>
      <c r="B203" s="389">
        <v>4142198.0</v>
      </c>
      <c r="C203" s="389">
        <f t="shared" si="1"/>
        <v>6177198</v>
      </c>
      <c r="D203" s="389">
        <v>54659.9999999</v>
      </c>
      <c r="E203" s="8">
        <v>199.0</v>
      </c>
      <c r="H203" s="388">
        <f t="shared" si="2"/>
        <v>994</v>
      </c>
    </row>
    <row r="204" ht="15.75" customHeight="1">
      <c r="A204" s="388">
        <v>994.5</v>
      </c>
      <c r="B204" s="389">
        <v>4169563.0</v>
      </c>
      <c r="C204" s="389">
        <f t="shared" si="1"/>
        <v>6204563</v>
      </c>
      <c r="D204" s="389">
        <v>54803.0000001</v>
      </c>
      <c r="E204" s="8">
        <v>200.0</v>
      </c>
      <c r="H204" s="388">
        <f t="shared" si="2"/>
        <v>994.5</v>
      </c>
    </row>
    <row r="205" ht="15.75" customHeight="1">
      <c r="A205" s="388">
        <v>995.0</v>
      </c>
      <c r="B205" s="389">
        <v>4197001.0</v>
      </c>
      <c r="C205" s="389">
        <f t="shared" si="1"/>
        <v>6232001</v>
      </c>
      <c r="D205" s="389">
        <v>54946.0</v>
      </c>
      <c r="E205" s="8">
        <v>201.0</v>
      </c>
      <c r="H205" s="388">
        <f t="shared" si="2"/>
        <v>995</v>
      </c>
    </row>
    <row r="206" ht="15.75" customHeight="1">
      <c r="A206" s="388">
        <v>995.5</v>
      </c>
      <c r="B206" s="389">
        <v>4224510.0</v>
      </c>
      <c r="C206" s="389">
        <f t="shared" si="1"/>
        <v>6259510</v>
      </c>
      <c r="D206" s="389">
        <v>55089.0000001</v>
      </c>
      <c r="E206" s="8">
        <v>202.0</v>
      </c>
      <c r="H206" s="388">
        <f t="shared" si="2"/>
        <v>995.5</v>
      </c>
    </row>
    <row r="207" ht="15.75" customHeight="1">
      <c r="A207" s="388">
        <v>996.0</v>
      </c>
      <c r="B207" s="389">
        <v>4252089.0</v>
      </c>
      <c r="C207" s="389">
        <f t="shared" si="1"/>
        <v>6287089</v>
      </c>
      <c r="D207" s="389">
        <v>55232.0</v>
      </c>
      <c r="E207" s="8">
        <v>203.0</v>
      </c>
      <c r="H207" s="388">
        <f t="shared" si="2"/>
        <v>996</v>
      </c>
    </row>
    <row r="208" ht="15.75" customHeight="1">
      <c r="A208" s="388">
        <v>996.5</v>
      </c>
      <c r="B208" s="389">
        <v>4279741.0</v>
      </c>
      <c r="C208" s="389">
        <f t="shared" si="1"/>
        <v>6314741</v>
      </c>
      <c r="D208" s="389">
        <v>55374.0</v>
      </c>
      <c r="E208" s="8">
        <v>204.0</v>
      </c>
      <c r="H208" s="388">
        <f t="shared" si="2"/>
        <v>996.5</v>
      </c>
    </row>
    <row r="209" ht="15.75" customHeight="1">
      <c r="A209" s="388">
        <v>997.0</v>
      </c>
      <c r="B209" s="389">
        <v>4307464.0</v>
      </c>
      <c r="C209" s="389">
        <f t="shared" si="1"/>
        <v>6342464</v>
      </c>
      <c r="D209" s="389">
        <v>55516.9999999</v>
      </c>
      <c r="E209" s="8">
        <v>205.0</v>
      </c>
      <c r="H209" s="388">
        <f t="shared" si="2"/>
        <v>997</v>
      </c>
    </row>
    <row r="210" ht="15.75" customHeight="1">
      <c r="A210" s="388">
        <v>997.5</v>
      </c>
      <c r="B210" s="389">
        <v>4335258.0</v>
      </c>
      <c r="C210" s="389">
        <f t="shared" si="1"/>
        <v>6370258</v>
      </c>
      <c r="D210" s="389">
        <v>55660.0000001</v>
      </c>
      <c r="E210" s="8">
        <v>206.0</v>
      </c>
      <c r="H210" s="388">
        <f t="shared" si="2"/>
        <v>997.5</v>
      </c>
    </row>
    <row r="211" ht="15.75" customHeight="1">
      <c r="A211" s="388">
        <v>998.0</v>
      </c>
      <c r="B211" s="389">
        <v>4363125.0</v>
      </c>
      <c r="C211" s="389">
        <f t="shared" si="1"/>
        <v>6398125</v>
      </c>
      <c r="D211" s="389">
        <v>55803.0</v>
      </c>
      <c r="E211" s="8">
        <v>207.0</v>
      </c>
      <c r="H211" s="388">
        <f t="shared" si="2"/>
        <v>998</v>
      </c>
    </row>
    <row r="212" ht="15.75" customHeight="1">
      <c r="A212" s="388">
        <v>998.5</v>
      </c>
      <c r="B212" s="389">
        <v>4391061.0</v>
      </c>
      <c r="C212" s="389">
        <f t="shared" si="1"/>
        <v>6426061</v>
      </c>
      <c r="D212" s="389">
        <v>55946.0000001</v>
      </c>
      <c r="E212" s="8">
        <v>208.0</v>
      </c>
      <c r="H212" s="388">
        <f t="shared" si="2"/>
        <v>998.5</v>
      </c>
    </row>
    <row r="213" ht="15.75" customHeight="1">
      <c r="A213" s="388">
        <v>999.0</v>
      </c>
      <c r="B213" s="389">
        <v>4419070.0</v>
      </c>
      <c r="C213" s="389">
        <f t="shared" si="1"/>
        <v>6454070</v>
      </c>
      <c r="D213" s="389">
        <v>56089.0</v>
      </c>
      <c r="E213" s="8">
        <v>209.0</v>
      </c>
      <c r="H213" s="388">
        <f t="shared" si="2"/>
        <v>999</v>
      </c>
    </row>
    <row r="214" ht="15.75" customHeight="1">
      <c r="A214" s="388">
        <v>999.5</v>
      </c>
      <c r="B214" s="389">
        <v>4447150.0</v>
      </c>
      <c r="C214" s="389">
        <f t="shared" si="1"/>
        <v>6482150</v>
      </c>
      <c r="D214" s="389">
        <v>56231.0</v>
      </c>
      <c r="E214" s="8">
        <v>210.0</v>
      </c>
      <c r="H214" s="388">
        <f t="shared" si="2"/>
        <v>999.5</v>
      </c>
    </row>
    <row r="215" ht="15.75" customHeight="1">
      <c r="A215" s="388">
        <v>1000.0</v>
      </c>
      <c r="B215" s="389">
        <v>4475301.0</v>
      </c>
      <c r="C215" s="389">
        <f t="shared" si="1"/>
        <v>6510301</v>
      </c>
      <c r="D215" s="389">
        <v>56373.9999999</v>
      </c>
      <c r="E215" s="8">
        <v>211.0</v>
      </c>
      <c r="H215" s="388">
        <f t="shared" si="2"/>
        <v>1000</v>
      </c>
    </row>
    <row r="216" ht="15.75" customHeight="1">
      <c r="A216" s="388">
        <v>1000.5</v>
      </c>
      <c r="B216" s="389">
        <v>4503527.0</v>
      </c>
      <c r="C216" s="389">
        <f t="shared" si="1"/>
        <v>6538527</v>
      </c>
      <c r="D216" s="389">
        <v>56529.0</v>
      </c>
      <c r="E216" s="8">
        <v>212.0</v>
      </c>
      <c r="H216" s="388">
        <f t="shared" si="2"/>
        <v>1000.5</v>
      </c>
    </row>
    <row r="217" ht="15.75" customHeight="1">
      <c r="A217" s="388">
        <v>1001.0</v>
      </c>
      <c r="B217" s="389">
        <v>4531830.0</v>
      </c>
      <c r="C217" s="389">
        <f t="shared" si="1"/>
        <v>6566830</v>
      </c>
      <c r="D217" s="389">
        <v>56683.9999999</v>
      </c>
      <c r="E217" s="8">
        <v>213.0</v>
      </c>
      <c r="H217" s="388">
        <f t="shared" si="2"/>
        <v>1001</v>
      </c>
    </row>
    <row r="218" ht="15.75" customHeight="1">
      <c r="A218" s="388">
        <v>1001.5</v>
      </c>
      <c r="B218" s="389">
        <v>4560212.0</v>
      </c>
      <c r="C218" s="389">
        <f t="shared" si="1"/>
        <v>6595212</v>
      </c>
      <c r="D218" s="389">
        <v>56839.0000001</v>
      </c>
      <c r="E218" s="8">
        <v>214.0</v>
      </c>
      <c r="H218" s="388">
        <f t="shared" si="2"/>
        <v>1001.5</v>
      </c>
    </row>
    <row r="219" ht="15.75" customHeight="1">
      <c r="A219" s="388">
        <v>1002.0</v>
      </c>
      <c r="B219" s="389">
        <v>4588670.0</v>
      </c>
      <c r="C219" s="389">
        <f t="shared" si="1"/>
        <v>6623670</v>
      </c>
      <c r="D219" s="389">
        <v>56995.0000001</v>
      </c>
      <c r="E219" s="8">
        <v>215.0</v>
      </c>
      <c r="H219" s="388">
        <f t="shared" si="2"/>
        <v>1002</v>
      </c>
    </row>
    <row r="220" ht="15.75" customHeight="1">
      <c r="A220" s="388">
        <v>1002.5</v>
      </c>
      <c r="B220" s="389">
        <v>4617206.0</v>
      </c>
      <c r="C220" s="389">
        <f t="shared" si="1"/>
        <v>6652206</v>
      </c>
      <c r="D220" s="389">
        <v>57150.0</v>
      </c>
      <c r="E220" s="8">
        <v>216.0</v>
      </c>
      <c r="H220" s="388">
        <f t="shared" si="2"/>
        <v>1002.5</v>
      </c>
    </row>
    <row r="221" ht="15.75" customHeight="1">
      <c r="A221" s="388">
        <v>1003.0</v>
      </c>
      <c r="B221" s="389">
        <v>4645820.0</v>
      </c>
      <c r="C221" s="389">
        <f t="shared" si="1"/>
        <v>6680820</v>
      </c>
      <c r="D221" s="389">
        <v>57305.0000001</v>
      </c>
      <c r="E221" s="8">
        <v>217.0</v>
      </c>
      <c r="H221" s="388">
        <f t="shared" si="2"/>
        <v>1003</v>
      </c>
    </row>
    <row r="222" ht="15.75" customHeight="1">
      <c r="A222" s="388">
        <v>1003.5</v>
      </c>
      <c r="B222" s="389">
        <v>4674511.0</v>
      </c>
      <c r="C222" s="389">
        <f t="shared" si="1"/>
        <v>6709511</v>
      </c>
      <c r="D222" s="389">
        <v>57460.0</v>
      </c>
      <c r="E222" s="8">
        <v>218.0</v>
      </c>
      <c r="H222" s="388">
        <f t="shared" si="2"/>
        <v>1003.5</v>
      </c>
    </row>
    <row r="223" ht="15.75" customHeight="1">
      <c r="A223" s="388">
        <v>1004.0</v>
      </c>
      <c r="B223" s="389">
        <v>4703279.0</v>
      </c>
      <c r="C223" s="389">
        <f t="shared" si="1"/>
        <v>6738279</v>
      </c>
      <c r="D223" s="389">
        <v>57615.0000001</v>
      </c>
      <c r="E223" s="8">
        <v>219.0</v>
      </c>
      <c r="H223" s="388">
        <f t="shared" si="2"/>
        <v>1004</v>
      </c>
    </row>
    <row r="224" ht="15.75" customHeight="1">
      <c r="A224" s="388">
        <v>1004.5</v>
      </c>
      <c r="B224" s="389">
        <v>4732126.0</v>
      </c>
      <c r="C224" s="389">
        <f t="shared" si="1"/>
        <v>6767126</v>
      </c>
      <c r="D224" s="389">
        <v>57770.0</v>
      </c>
      <c r="E224" s="8">
        <v>220.0</v>
      </c>
      <c r="H224" s="388">
        <f t="shared" si="2"/>
        <v>1004.5</v>
      </c>
    </row>
    <row r="225" ht="15.75" customHeight="1">
      <c r="A225" s="388">
        <v>1005.0</v>
      </c>
      <c r="B225" s="389">
        <v>4761049.0</v>
      </c>
      <c r="C225" s="389">
        <f t="shared" si="1"/>
        <v>6796049</v>
      </c>
      <c r="D225" s="389">
        <v>57925.0000001</v>
      </c>
      <c r="E225" s="8">
        <v>221.0</v>
      </c>
      <c r="H225" s="388">
        <f t="shared" si="2"/>
        <v>1005</v>
      </c>
    </row>
    <row r="226" ht="15.75" customHeight="1">
      <c r="A226" s="388">
        <v>1005.5</v>
      </c>
      <c r="B226" s="389">
        <v>4790050.0</v>
      </c>
      <c r="C226" s="389">
        <f t="shared" si="1"/>
        <v>6825050</v>
      </c>
      <c r="D226" s="389">
        <v>58080.0</v>
      </c>
      <c r="E226" s="8">
        <v>222.0</v>
      </c>
      <c r="H226" s="388">
        <f t="shared" si="2"/>
        <v>1005.5</v>
      </c>
    </row>
    <row r="227" ht="15.75" customHeight="1">
      <c r="A227" s="388">
        <v>1006.0</v>
      </c>
      <c r="B227" s="389">
        <v>4819129.0</v>
      </c>
      <c r="C227" s="389">
        <f t="shared" si="1"/>
        <v>6854129</v>
      </c>
      <c r="D227" s="389">
        <v>58234.9999999</v>
      </c>
      <c r="E227" s="8">
        <v>223.0</v>
      </c>
      <c r="H227" s="388">
        <f t="shared" si="2"/>
        <v>1006</v>
      </c>
    </row>
    <row r="228" ht="15.75" customHeight="1">
      <c r="A228" s="388">
        <v>1006.5</v>
      </c>
      <c r="B228" s="389">
        <v>4848286.0</v>
      </c>
      <c r="C228" s="389">
        <f t="shared" si="1"/>
        <v>6883286</v>
      </c>
      <c r="D228" s="389">
        <v>58390.0</v>
      </c>
      <c r="E228" s="8">
        <v>224.0</v>
      </c>
      <c r="H228" s="388">
        <f t="shared" si="2"/>
        <v>1006.5</v>
      </c>
    </row>
    <row r="229" ht="15.75" customHeight="1">
      <c r="A229" s="388">
        <v>1007.0</v>
      </c>
      <c r="B229" s="389">
        <v>4877519.0</v>
      </c>
      <c r="C229" s="389">
        <f t="shared" si="1"/>
        <v>6912519</v>
      </c>
      <c r="D229" s="389">
        <v>58544.9999999</v>
      </c>
      <c r="E229" s="8">
        <v>225.0</v>
      </c>
      <c r="H229" s="388">
        <f t="shared" si="2"/>
        <v>1007</v>
      </c>
    </row>
    <row r="230" ht="15.75" customHeight="1">
      <c r="A230" s="388">
        <v>1007.5</v>
      </c>
      <c r="B230" s="389">
        <v>4906831.0</v>
      </c>
      <c r="C230" s="389">
        <f t="shared" si="1"/>
        <v>6941831</v>
      </c>
      <c r="D230" s="389">
        <v>58700.0</v>
      </c>
      <c r="E230" s="8">
        <v>226.0</v>
      </c>
      <c r="H230" s="388">
        <f t="shared" si="2"/>
        <v>1007.5</v>
      </c>
    </row>
    <row r="231" ht="15.75" customHeight="1">
      <c r="A231" s="388">
        <v>1008.0</v>
      </c>
      <c r="B231" s="389">
        <v>4936219.0</v>
      </c>
      <c r="C231" s="389">
        <f t="shared" si="1"/>
        <v>6971219</v>
      </c>
      <c r="D231" s="389">
        <v>58854.9999999</v>
      </c>
      <c r="E231" s="8">
        <v>227.0</v>
      </c>
      <c r="H231" s="388">
        <f t="shared" si="2"/>
        <v>1008</v>
      </c>
    </row>
    <row r="232" ht="15.75" customHeight="1">
      <c r="A232" s="388">
        <v>1008.5</v>
      </c>
      <c r="B232" s="389">
        <v>4965686.0</v>
      </c>
      <c r="C232" s="389">
        <f t="shared" si="1"/>
        <v>7000686</v>
      </c>
      <c r="D232" s="389">
        <v>59010.0</v>
      </c>
      <c r="E232" s="8">
        <v>228.0</v>
      </c>
      <c r="H232" s="388">
        <f t="shared" si="2"/>
        <v>1008.5</v>
      </c>
    </row>
    <row r="233" ht="15.75" customHeight="1">
      <c r="A233" s="388">
        <v>1009.0</v>
      </c>
      <c r="B233" s="389">
        <v>4995230.0</v>
      </c>
      <c r="C233" s="389">
        <f t="shared" si="1"/>
        <v>7030230</v>
      </c>
      <c r="D233" s="389">
        <v>59164.9999999</v>
      </c>
      <c r="E233" s="8">
        <v>229.0</v>
      </c>
      <c r="H233" s="388">
        <f t="shared" si="2"/>
        <v>1009</v>
      </c>
    </row>
    <row r="234" ht="15.75" customHeight="1">
      <c r="A234" s="388">
        <v>1009.5</v>
      </c>
      <c r="B234" s="389">
        <v>5024851.0</v>
      </c>
      <c r="C234" s="389">
        <f t="shared" si="1"/>
        <v>7059851</v>
      </c>
      <c r="D234" s="389">
        <v>59320.0000001</v>
      </c>
      <c r="E234" s="8">
        <v>230.0</v>
      </c>
      <c r="H234" s="388">
        <f t="shared" si="2"/>
        <v>1009.5</v>
      </c>
    </row>
    <row r="235" ht="15.75" customHeight="1">
      <c r="A235" s="388">
        <v>1010.0</v>
      </c>
      <c r="B235" s="389">
        <v>5054550.0</v>
      </c>
      <c r="C235" s="389">
        <f t="shared" si="1"/>
        <v>7089550</v>
      </c>
      <c r="D235" s="389">
        <v>59474.9999999</v>
      </c>
      <c r="E235" s="8">
        <v>231.0</v>
      </c>
      <c r="H235" s="388">
        <f t="shared" si="2"/>
        <v>1010</v>
      </c>
    </row>
    <row r="236" ht="15.75" customHeight="1">
      <c r="A236" s="388">
        <v>1010.5</v>
      </c>
      <c r="B236" s="389">
        <v>5084326.0</v>
      </c>
      <c r="C236" s="389">
        <f t="shared" si="1"/>
        <v>7119326</v>
      </c>
      <c r="D236" s="389">
        <v>59628.0</v>
      </c>
      <c r="E236" s="8">
        <v>232.0</v>
      </c>
      <c r="H236" s="388">
        <f t="shared" si="2"/>
        <v>1010.5</v>
      </c>
    </row>
    <row r="237" ht="15.75" customHeight="1">
      <c r="A237" s="388">
        <v>1011.0</v>
      </c>
      <c r="B237" s="389">
        <v>5114179.0</v>
      </c>
      <c r="C237" s="389">
        <f t="shared" si="1"/>
        <v>7149179</v>
      </c>
      <c r="D237" s="389">
        <v>59780.9999999</v>
      </c>
      <c r="E237" s="8">
        <v>233.0</v>
      </c>
      <c r="H237" s="388">
        <f t="shared" si="2"/>
        <v>1011</v>
      </c>
    </row>
    <row r="238" ht="15.75" customHeight="1">
      <c r="A238" s="388">
        <v>1011.5</v>
      </c>
      <c r="B238" s="389">
        <v>5144107.0</v>
      </c>
      <c r="C238" s="389">
        <f t="shared" si="1"/>
        <v>7179107</v>
      </c>
      <c r="D238" s="389">
        <v>59934.0</v>
      </c>
      <c r="E238" s="8">
        <v>234.0</v>
      </c>
      <c r="H238" s="388">
        <f t="shared" si="2"/>
        <v>1011.5</v>
      </c>
    </row>
    <row r="239" ht="15.75" customHeight="1">
      <c r="A239" s="388">
        <v>1012.0</v>
      </c>
      <c r="B239" s="389">
        <v>5174113.0</v>
      </c>
      <c r="C239" s="389">
        <f t="shared" si="1"/>
        <v>7209113</v>
      </c>
      <c r="D239" s="389">
        <v>60087.0000001</v>
      </c>
      <c r="E239" s="8">
        <v>235.0</v>
      </c>
      <c r="H239" s="388">
        <f t="shared" si="2"/>
        <v>1012</v>
      </c>
    </row>
    <row r="240" ht="15.75" customHeight="1">
      <c r="A240" s="388">
        <v>1012.5</v>
      </c>
      <c r="B240" s="389">
        <v>5204194.0</v>
      </c>
      <c r="C240" s="389">
        <f t="shared" si="1"/>
        <v>7239194</v>
      </c>
      <c r="D240" s="389">
        <v>60239.9999999</v>
      </c>
      <c r="E240" s="8">
        <v>236.0</v>
      </c>
      <c r="H240" s="388">
        <f t="shared" si="2"/>
        <v>1012.5</v>
      </c>
    </row>
    <row r="241" ht="15.75" customHeight="1">
      <c r="A241" s="388">
        <v>1013.0</v>
      </c>
      <c r="B241" s="389">
        <v>5234353.0</v>
      </c>
      <c r="C241" s="389">
        <f t="shared" si="1"/>
        <v>7269353</v>
      </c>
      <c r="D241" s="389">
        <v>60393.0</v>
      </c>
      <c r="E241" s="8">
        <v>237.0</v>
      </c>
      <c r="H241" s="388">
        <f t="shared" si="2"/>
        <v>1013</v>
      </c>
    </row>
    <row r="242" ht="15.75" customHeight="1">
      <c r="A242" s="388">
        <v>1013.5</v>
      </c>
      <c r="B242" s="389">
        <v>5264587.0</v>
      </c>
      <c r="C242" s="389">
        <f t="shared" si="1"/>
        <v>7299587</v>
      </c>
      <c r="D242" s="389">
        <v>60546.0000001</v>
      </c>
      <c r="E242" s="8">
        <v>238.0</v>
      </c>
      <c r="H242" s="388">
        <f t="shared" si="2"/>
        <v>1013.5</v>
      </c>
    </row>
    <row r="243" ht="15.75" customHeight="1">
      <c r="A243" s="388">
        <v>1014.0</v>
      </c>
      <c r="B243" s="389">
        <v>5294898.0</v>
      </c>
      <c r="C243" s="389">
        <f t="shared" si="1"/>
        <v>7329898</v>
      </c>
      <c r="D243" s="389">
        <v>60698.9999999</v>
      </c>
      <c r="E243" s="8">
        <v>239.0</v>
      </c>
      <c r="H243" s="388">
        <f t="shared" si="2"/>
        <v>1014</v>
      </c>
    </row>
    <row r="244" ht="15.75" customHeight="1">
      <c r="A244" s="388">
        <v>1014.5</v>
      </c>
      <c r="B244" s="389">
        <v>5325286.0</v>
      </c>
      <c r="C244" s="389">
        <f t="shared" si="1"/>
        <v>7360286</v>
      </c>
      <c r="D244" s="389">
        <v>60850.9999999</v>
      </c>
      <c r="E244" s="8">
        <v>240.0</v>
      </c>
      <c r="H244" s="388">
        <f t="shared" si="2"/>
        <v>1014.5</v>
      </c>
    </row>
    <row r="245" ht="15.75" customHeight="1">
      <c r="A245" s="388">
        <v>1015.0</v>
      </c>
      <c r="B245" s="389">
        <v>5355750.0</v>
      </c>
      <c r="C245" s="389">
        <f t="shared" si="1"/>
        <v>7390750</v>
      </c>
      <c r="D245" s="389">
        <v>61004.0</v>
      </c>
      <c r="E245" s="8">
        <v>241.0</v>
      </c>
      <c r="H245" s="388">
        <f t="shared" si="2"/>
        <v>1015</v>
      </c>
    </row>
    <row r="246" ht="15.75" customHeight="1">
      <c r="A246" s="388">
        <v>1015.5</v>
      </c>
      <c r="B246" s="389">
        <v>5386290.0</v>
      </c>
      <c r="C246" s="389">
        <f t="shared" si="1"/>
        <v>7421290</v>
      </c>
      <c r="D246" s="389">
        <v>61157.0000001</v>
      </c>
      <c r="E246" s="8">
        <v>242.0</v>
      </c>
      <c r="H246" s="388">
        <f t="shared" si="2"/>
        <v>1015.5</v>
      </c>
    </row>
    <row r="247" ht="15.75" customHeight="1">
      <c r="A247" s="388">
        <v>1016.0</v>
      </c>
      <c r="B247" s="389">
        <v>5416907.0</v>
      </c>
      <c r="C247" s="389">
        <f t="shared" si="1"/>
        <v>7451907</v>
      </c>
      <c r="D247" s="389">
        <v>61309.9999999</v>
      </c>
      <c r="E247" s="8">
        <v>243.0</v>
      </c>
      <c r="H247" s="388">
        <f t="shared" si="2"/>
        <v>1016</v>
      </c>
    </row>
    <row r="248" ht="15.75" customHeight="1">
      <c r="A248" s="388">
        <v>1016.5</v>
      </c>
      <c r="B248" s="389">
        <v>5447600.0</v>
      </c>
      <c r="C248" s="389">
        <f t="shared" si="1"/>
        <v>7482600</v>
      </c>
      <c r="D248" s="389">
        <v>61463.0</v>
      </c>
      <c r="E248" s="8">
        <v>244.0</v>
      </c>
      <c r="H248" s="388">
        <f t="shared" si="2"/>
        <v>1016.5</v>
      </c>
    </row>
    <row r="249" ht="15.75" customHeight="1">
      <c r="A249" s="388">
        <v>1017.0</v>
      </c>
      <c r="B249" s="389">
        <v>5478370.0</v>
      </c>
      <c r="C249" s="389">
        <f t="shared" si="1"/>
        <v>7513370</v>
      </c>
      <c r="D249" s="389">
        <v>61616.0000001</v>
      </c>
      <c r="E249" s="8">
        <v>245.0</v>
      </c>
      <c r="H249" s="388">
        <f t="shared" si="2"/>
        <v>1017</v>
      </c>
    </row>
    <row r="250" ht="15.75" customHeight="1">
      <c r="A250" s="388">
        <v>1017.5</v>
      </c>
      <c r="B250" s="389">
        <v>5509216.0</v>
      </c>
      <c r="C250" s="389">
        <f t="shared" si="1"/>
        <v>7544216</v>
      </c>
      <c r="D250" s="389">
        <v>61768.9999999</v>
      </c>
      <c r="E250" s="8">
        <v>246.0</v>
      </c>
      <c r="H250" s="388">
        <f t="shared" si="2"/>
        <v>1017.5</v>
      </c>
    </row>
    <row r="251" ht="15.75" customHeight="1">
      <c r="A251" s="388">
        <v>1018.0</v>
      </c>
      <c r="B251" s="389">
        <v>5540139.0</v>
      </c>
      <c r="C251" s="389">
        <f t="shared" si="1"/>
        <v>7575139</v>
      </c>
      <c r="D251" s="389">
        <v>61922.0</v>
      </c>
      <c r="E251" s="8">
        <v>247.0</v>
      </c>
      <c r="H251" s="388">
        <f t="shared" si="2"/>
        <v>1018</v>
      </c>
    </row>
    <row r="252" ht="15.75" customHeight="1">
      <c r="A252" s="388">
        <v>1018.5</v>
      </c>
      <c r="B252" s="389">
        <v>5571138.0</v>
      </c>
      <c r="C252" s="389">
        <f t="shared" si="1"/>
        <v>7606138</v>
      </c>
      <c r="D252" s="389">
        <v>62074.9999999</v>
      </c>
      <c r="E252" s="8">
        <v>248.0</v>
      </c>
      <c r="H252" s="388">
        <f t="shared" si="2"/>
        <v>1018.5</v>
      </c>
    </row>
    <row r="253" ht="15.75" customHeight="1">
      <c r="A253" s="388">
        <v>1019.0</v>
      </c>
      <c r="B253" s="389">
        <v>5602213.0</v>
      </c>
      <c r="C253" s="389">
        <f t="shared" si="1"/>
        <v>7637213</v>
      </c>
      <c r="D253" s="389">
        <v>62227.0000001</v>
      </c>
      <c r="E253" s="8">
        <v>249.0</v>
      </c>
      <c r="H253" s="388">
        <f t="shared" si="2"/>
        <v>1019</v>
      </c>
    </row>
    <row r="254" ht="15.75" customHeight="1">
      <c r="A254" s="388">
        <v>1019.5</v>
      </c>
      <c r="B254" s="389">
        <v>5633365.0</v>
      </c>
      <c r="C254" s="389">
        <f t="shared" si="1"/>
        <v>7668365</v>
      </c>
      <c r="D254" s="389">
        <v>62379.9999999</v>
      </c>
      <c r="E254" s="8">
        <v>250.0</v>
      </c>
      <c r="H254" s="388">
        <f t="shared" si="2"/>
        <v>1019.5</v>
      </c>
    </row>
    <row r="255" ht="15.75" customHeight="1">
      <c r="A255" s="388">
        <v>1020.0</v>
      </c>
      <c r="B255" s="389">
        <v>5664593.0</v>
      </c>
      <c r="C255" s="389">
        <f t="shared" si="1"/>
        <v>7699593</v>
      </c>
      <c r="D255" s="389">
        <v>62533.0</v>
      </c>
      <c r="E255" s="8">
        <v>251.0</v>
      </c>
      <c r="H255" s="388">
        <f t="shared" si="2"/>
        <v>1020</v>
      </c>
    </row>
    <row r="256" ht="15.75" customHeight="1">
      <c r="A256" s="388">
        <v>1020.5</v>
      </c>
      <c r="B256" s="389">
        <v>5695898.0</v>
      </c>
      <c r="C256" s="389">
        <f t="shared" si="1"/>
        <v>7730898</v>
      </c>
      <c r="D256" s="389">
        <v>62687.9999999</v>
      </c>
      <c r="E256" s="8">
        <v>252.0</v>
      </c>
      <c r="H256" s="388">
        <f t="shared" si="2"/>
        <v>1020.5</v>
      </c>
    </row>
    <row r="257" ht="15.75" customHeight="1">
      <c r="A257" s="388">
        <v>1021.0</v>
      </c>
      <c r="B257" s="389">
        <v>5727281.0</v>
      </c>
      <c r="C257" s="389">
        <f t="shared" si="1"/>
        <v>7762281</v>
      </c>
      <c r="D257" s="389">
        <v>62841.9999999</v>
      </c>
      <c r="E257" s="8">
        <v>253.0</v>
      </c>
      <c r="H257" s="388">
        <f t="shared" si="2"/>
        <v>1021</v>
      </c>
    </row>
    <row r="258" ht="15.75" customHeight="1">
      <c r="A258" s="388">
        <v>1021.5</v>
      </c>
      <c r="B258" s="389">
        <v>5758741.0</v>
      </c>
      <c r="C258" s="389">
        <f t="shared" si="1"/>
        <v>7793741</v>
      </c>
      <c r="D258" s="389">
        <v>62997.0</v>
      </c>
      <c r="E258" s="8">
        <v>254.0</v>
      </c>
      <c r="H258" s="388">
        <f t="shared" si="2"/>
        <v>1021.5</v>
      </c>
    </row>
    <row r="259" ht="15.75" customHeight="1">
      <c r="A259" s="388">
        <v>1022.0</v>
      </c>
      <c r="B259" s="389">
        <v>5790278.0</v>
      </c>
      <c r="C259" s="389">
        <f t="shared" si="1"/>
        <v>7825278</v>
      </c>
      <c r="D259" s="389">
        <v>63151.0</v>
      </c>
      <c r="E259" s="8">
        <v>255.0</v>
      </c>
      <c r="H259" s="388">
        <f t="shared" si="2"/>
        <v>1022</v>
      </c>
    </row>
    <row r="260" ht="15.75" customHeight="1">
      <c r="A260" s="388">
        <v>1022.5</v>
      </c>
      <c r="B260" s="389">
        <v>5821892.0</v>
      </c>
      <c r="C260" s="389">
        <f t="shared" si="1"/>
        <v>7856892</v>
      </c>
      <c r="D260" s="389">
        <v>63305.9999999</v>
      </c>
      <c r="E260" s="8">
        <v>256.0</v>
      </c>
      <c r="H260" s="388">
        <f t="shared" si="2"/>
        <v>1022.5</v>
      </c>
    </row>
    <row r="261" ht="15.75" customHeight="1">
      <c r="A261" s="388">
        <v>1023.0</v>
      </c>
      <c r="B261" s="389">
        <v>5853583.0</v>
      </c>
      <c r="C261" s="389">
        <f t="shared" si="1"/>
        <v>7888583</v>
      </c>
      <c r="D261" s="389">
        <v>63460.0000001</v>
      </c>
      <c r="E261" s="8">
        <v>257.0</v>
      </c>
      <c r="H261" s="388">
        <f t="shared" si="2"/>
        <v>1023</v>
      </c>
    </row>
    <row r="262" ht="15.75" customHeight="1">
      <c r="A262" s="388">
        <v>1023.5</v>
      </c>
      <c r="B262" s="389">
        <v>5885352.0</v>
      </c>
      <c r="C262" s="389">
        <f t="shared" si="1"/>
        <v>7920352</v>
      </c>
      <c r="D262" s="389">
        <v>63615.0</v>
      </c>
      <c r="E262" s="8">
        <v>258.0</v>
      </c>
      <c r="H262" s="388">
        <f t="shared" si="2"/>
        <v>1023.5</v>
      </c>
    </row>
    <row r="263" ht="15.75" customHeight="1">
      <c r="A263" s="388">
        <v>1024.0</v>
      </c>
      <c r="B263" s="389">
        <v>5917198.0</v>
      </c>
      <c r="C263" s="389">
        <f t="shared" si="1"/>
        <v>7952198</v>
      </c>
      <c r="D263" s="389">
        <v>63769.0</v>
      </c>
      <c r="E263" s="8">
        <v>259.0</v>
      </c>
      <c r="H263" s="388">
        <f t="shared" si="2"/>
        <v>1024</v>
      </c>
    </row>
    <row r="264" ht="15.75" customHeight="1">
      <c r="A264" s="388">
        <v>1024.5</v>
      </c>
      <c r="B264" s="389">
        <v>5949121.0</v>
      </c>
      <c r="C264" s="389">
        <f t="shared" si="1"/>
        <v>7984121</v>
      </c>
      <c r="D264" s="389">
        <v>63923.9999999</v>
      </c>
      <c r="E264" s="8">
        <v>260.0</v>
      </c>
      <c r="H264" s="388">
        <f t="shared" si="2"/>
        <v>1024.5</v>
      </c>
    </row>
    <row r="265" ht="15.75" customHeight="1">
      <c r="A265" s="388">
        <v>1025.0</v>
      </c>
      <c r="B265" s="389">
        <v>5981122.0</v>
      </c>
      <c r="C265" s="389">
        <f t="shared" si="1"/>
        <v>8016122</v>
      </c>
      <c r="D265" s="389">
        <v>64078.0000001</v>
      </c>
      <c r="E265" s="8">
        <v>261.0</v>
      </c>
      <c r="H265" s="388">
        <f t="shared" si="2"/>
        <v>1025</v>
      </c>
    </row>
    <row r="266" ht="15.75" customHeight="1">
      <c r="A266" s="388">
        <v>1025.5</v>
      </c>
      <c r="B266" s="389">
        <v>6013200.0</v>
      </c>
      <c r="C266" s="389">
        <f t="shared" si="1"/>
        <v>8048200</v>
      </c>
      <c r="D266" s="389">
        <v>64233.0</v>
      </c>
      <c r="E266" s="8">
        <v>262.0</v>
      </c>
      <c r="H266" s="388">
        <f t="shared" si="2"/>
        <v>1025.5</v>
      </c>
    </row>
    <row r="267" ht="15.75" customHeight="1">
      <c r="A267" s="388">
        <v>1026.0</v>
      </c>
      <c r="B267" s="389">
        <v>6045355.0</v>
      </c>
      <c r="C267" s="389">
        <f t="shared" si="1"/>
        <v>8080355</v>
      </c>
      <c r="D267" s="389">
        <v>64387.0</v>
      </c>
      <c r="E267" s="8">
        <v>263.0</v>
      </c>
      <c r="H267" s="388">
        <f t="shared" si="2"/>
        <v>1026</v>
      </c>
    </row>
    <row r="268" ht="15.75" customHeight="1">
      <c r="A268" s="388">
        <v>1026.5</v>
      </c>
      <c r="B268" s="389">
        <v>6077587.0</v>
      </c>
      <c r="C268" s="389">
        <f t="shared" si="1"/>
        <v>8112587</v>
      </c>
      <c r="D268" s="389">
        <v>64542.0000001</v>
      </c>
      <c r="E268" s="8">
        <v>264.0</v>
      </c>
      <c r="H268" s="388">
        <f t="shared" si="2"/>
        <v>1026.5</v>
      </c>
    </row>
    <row r="269" ht="15.75" customHeight="1">
      <c r="A269" s="388">
        <v>1027.0</v>
      </c>
      <c r="B269" s="389">
        <v>6109897.0</v>
      </c>
      <c r="C269" s="389">
        <f t="shared" si="1"/>
        <v>8144897</v>
      </c>
      <c r="D269" s="389">
        <v>64696.0000001</v>
      </c>
      <c r="E269" s="8">
        <v>265.0</v>
      </c>
      <c r="H269" s="388">
        <f t="shared" si="2"/>
        <v>1027</v>
      </c>
    </row>
    <row r="270" ht="15.75" customHeight="1">
      <c r="A270" s="388">
        <v>1027.5</v>
      </c>
      <c r="B270" s="389">
        <v>6142284.0</v>
      </c>
      <c r="C270" s="389">
        <f t="shared" si="1"/>
        <v>8177284</v>
      </c>
      <c r="D270" s="389">
        <v>64851.0</v>
      </c>
      <c r="E270" s="8">
        <v>266.0</v>
      </c>
      <c r="H270" s="388">
        <f t="shared" si="2"/>
        <v>1027.5</v>
      </c>
    </row>
    <row r="271" ht="15.75" customHeight="1">
      <c r="A271" s="388">
        <v>1028.0</v>
      </c>
      <c r="B271" s="389">
        <v>6174748.0</v>
      </c>
      <c r="C271" s="389">
        <f t="shared" si="1"/>
        <v>8209748</v>
      </c>
      <c r="D271" s="389">
        <v>65006.0000001</v>
      </c>
      <c r="E271" s="8">
        <v>267.0</v>
      </c>
      <c r="H271" s="388">
        <f t="shared" si="2"/>
        <v>1028</v>
      </c>
    </row>
    <row r="272" ht="15.75" customHeight="1">
      <c r="A272" s="388">
        <v>1028.5</v>
      </c>
      <c r="B272" s="389">
        <v>6207289.0</v>
      </c>
      <c r="C272" s="389">
        <f t="shared" si="1"/>
        <v>8242289</v>
      </c>
      <c r="D272" s="389">
        <v>65160.0000001</v>
      </c>
      <c r="E272" s="8">
        <v>268.0</v>
      </c>
      <c r="H272" s="388">
        <f t="shared" si="2"/>
        <v>1028.5</v>
      </c>
    </row>
    <row r="273" ht="15.75" customHeight="1">
      <c r="A273" s="388">
        <v>1029.0</v>
      </c>
      <c r="B273" s="389">
        <v>6239908.0</v>
      </c>
      <c r="C273" s="389">
        <f t="shared" si="1"/>
        <v>8274908</v>
      </c>
      <c r="D273" s="389">
        <v>65315.0</v>
      </c>
      <c r="E273" s="8">
        <v>269.0</v>
      </c>
      <c r="H273" s="388">
        <f t="shared" si="2"/>
        <v>1029</v>
      </c>
    </row>
    <row r="274" ht="15.75" customHeight="1">
      <c r="A274" s="388">
        <v>1029.5</v>
      </c>
      <c r="B274" s="389">
        <v>6272604.0</v>
      </c>
      <c r="C274" s="389">
        <f t="shared" si="1"/>
        <v>8307604</v>
      </c>
      <c r="D274" s="389">
        <v>65469.0</v>
      </c>
      <c r="E274" s="8">
        <v>270.0</v>
      </c>
      <c r="H274" s="388">
        <f t="shared" si="2"/>
        <v>1029.5</v>
      </c>
    </row>
    <row r="275" ht="15.75" customHeight="1">
      <c r="A275" s="388">
        <v>1030.0</v>
      </c>
      <c r="B275" s="389">
        <v>6305377.0</v>
      </c>
      <c r="C275" s="389">
        <f t="shared" si="1"/>
        <v>8340377</v>
      </c>
      <c r="D275" s="389">
        <v>65624.0000001</v>
      </c>
      <c r="E275" s="8">
        <v>271.0</v>
      </c>
      <c r="H275" s="388">
        <f t="shared" si="2"/>
        <v>1030</v>
      </c>
    </row>
    <row r="276" ht="15.75" customHeight="1">
      <c r="A276" s="388">
        <v>1030.5</v>
      </c>
      <c r="B276" s="389">
        <v>6338229.0</v>
      </c>
      <c r="C276" s="389">
        <f t="shared" si="1"/>
        <v>8373229</v>
      </c>
      <c r="D276" s="389">
        <v>65784.0</v>
      </c>
      <c r="E276" s="8">
        <v>272.0</v>
      </c>
      <c r="H276" s="388">
        <f t="shared" si="2"/>
        <v>1030.5</v>
      </c>
    </row>
    <row r="277" ht="15.75" customHeight="1">
      <c r="A277" s="388">
        <v>1031.0</v>
      </c>
      <c r="B277" s="389">
        <v>6371161.0</v>
      </c>
      <c r="C277" s="389">
        <f t="shared" si="1"/>
        <v>8406161</v>
      </c>
      <c r="D277" s="389">
        <v>65945.0</v>
      </c>
      <c r="E277" s="8">
        <v>273.0</v>
      </c>
      <c r="H277" s="388">
        <f t="shared" si="2"/>
        <v>1031</v>
      </c>
    </row>
    <row r="278" ht="15.75" customHeight="1">
      <c r="A278" s="388">
        <v>1031.5</v>
      </c>
      <c r="B278" s="389">
        <v>6404174.0</v>
      </c>
      <c r="C278" s="389">
        <f t="shared" si="1"/>
        <v>8439174</v>
      </c>
      <c r="D278" s="389">
        <v>66105.0000001</v>
      </c>
      <c r="E278" s="8">
        <v>274.0</v>
      </c>
      <c r="H278" s="388">
        <f t="shared" si="2"/>
        <v>1031.5</v>
      </c>
    </row>
    <row r="279" ht="15.75" customHeight="1">
      <c r="A279" s="388">
        <v>1032.0</v>
      </c>
      <c r="B279" s="389">
        <v>6437266.0</v>
      </c>
      <c r="C279" s="389">
        <f t="shared" si="1"/>
        <v>8472266</v>
      </c>
      <c r="D279" s="389">
        <v>66266.0000001</v>
      </c>
      <c r="E279" s="8">
        <v>275.0</v>
      </c>
      <c r="H279" s="388">
        <f t="shared" si="2"/>
        <v>1032</v>
      </c>
    </row>
    <row r="280" ht="15.75" customHeight="1">
      <c r="A280" s="388">
        <v>1032.5</v>
      </c>
      <c r="B280" s="389">
        <v>6470439.0</v>
      </c>
      <c r="C280" s="389">
        <f t="shared" si="1"/>
        <v>8505439</v>
      </c>
      <c r="D280" s="389">
        <v>66425.9999999</v>
      </c>
      <c r="E280" s="8">
        <v>276.0</v>
      </c>
      <c r="H280" s="388">
        <f t="shared" si="2"/>
        <v>1032.5</v>
      </c>
    </row>
    <row r="281" ht="15.75" customHeight="1">
      <c r="A281" s="388">
        <v>1033.0</v>
      </c>
      <c r="B281" s="389">
        <v>6503693.0</v>
      </c>
      <c r="C281" s="389">
        <f t="shared" si="1"/>
        <v>8538693</v>
      </c>
      <c r="D281" s="389">
        <v>66586.9999999</v>
      </c>
      <c r="E281" s="8">
        <v>277.0</v>
      </c>
      <c r="H281" s="388">
        <f t="shared" si="2"/>
        <v>1033</v>
      </c>
    </row>
    <row r="282" ht="15.75" customHeight="1">
      <c r="A282" s="388">
        <v>1033.5</v>
      </c>
      <c r="B282" s="389">
        <v>6537026.0</v>
      </c>
      <c r="C282" s="389">
        <f t="shared" si="1"/>
        <v>8572026</v>
      </c>
      <c r="D282" s="389">
        <v>66747.0</v>
      </c>
      <c r="E282" s="8">
        <v>278.0</v>
      </c>
      <c r="H282" s="388">
        <f t="shared" si="2"/>
        <v>1033.5</v>
      </c>
    </row>
    <row r="283" ht="15.75" customHeight="1">
      <c r="A283" s="388">
        <v>1034.0</v>
      </c>
      <c r="B283" s="389">
        <v>6570440.0</v>
      </c>
      <c r="C283" s="389">
        <f t="shared" si="1"/>
        <v>8605440</v>
      </c>
      <c r="D283" s="389">
        <v>66908.0</v>
      </c>
      <c r="E283" s="8">
        <v>279.0</v>
      </c>
      <c r="H283" s="388">
        <f t="shared" si="2"/>
        <v>1034</v>
      </c>
    </row>
    <row r="284" ht="15.75" customHeight="1">
      <c r="A284" s="388">
        <v>1034.5</v>
      </c>
      <c r="B284" s="389">
        <v>6603934.0</v>
      </c>
      <c r="C284" s="389">
        <f t="shared" si="1"/>
        <v>8638934</v>
      </c>
      <c r="D284" s="389">
        <v>67068.0000001</v>
      </c>
      <c r="E284" s="8">
        <v>280.0</v>
      </c>
      <c r="H284" s="388">
        <f t="shared" si="2"/>
        <v>1034.5</v>
      </c>
    </row>
    <row r="285" ht="15.75" customHeight="1">
      <c r="A285" s="388">
        <v>1035.0</v>
      </c>
      <c r="B285" s="389">
        <v>6637508.0</v>
      </c>
      <c r="C285" s="389">
        <f t="shared" si="1"/>
        <v>8672508</v>
      </c>
      <c r="D285" s="389">
        <v>67229.0000001</v>
      </c>
      <c r="E285" s="8">
        <v>281.0</v>
      </c>
      <c r="H285" s="388">
        <f t="shared" si="2"/>
        <v>1035</v>
      </c>
    </row>
    <row r="286" ht="15.75" customHeight="1">
      <c r="A286" s="388">
        <v>1035.5</v>
      </c>
      <c r="B286" s="389">
        <v>6671163.0</v>
      </c>
      <c r="C286" s="389">
        <f t="shared" si="1"/>
        <v>8706163</v>
      </c>
      <c r="D286" s="389">
        <v>67389.0</v>
      </c>
      <c r="E286" s="8">
        <v>282.0</v>
      </c>
      <c r="H286" s="388">
        <f t="shared" si="2"/>
        <v>1035.5</v>
      </c>
    </row>
    <row r="287" ht="15.75" customHeight="1">
      <c r="A287" s="388">
        <v>1036.0</v>
      </c>
      <c r="B287" s="389">
        <v>6704897.0</v>
      </c>
      <c r="C287" s="389">
        <f t="shared" si="1"/>
        <v>8739897</v>
      </c>
      <c r="D287" s="389">
        <v>67550.0</v>
      </c>
      <c r="E287" s="8">
        <v>283.0</v>
      </c>
      <c r="H287" s="388">
        <f t="shared" si="2"/>
        <v>1036</v>
      </c>
    </row>
    <row r="288" ht="15.75" customHeight="1">
      <c r="A288" s="388">
        <v>1036.5</v>
      </c>
      <c r="B288" s="389">
        <v>6738713.0</v>
      </c>
      <c r="C288" s="389">
        <f t="shared" si="1"/>
        <v>8773713</v>
      </c>
      <c r="D288" s="389">
        <v>67710.0000001</v>
      </c>
      <c r="E288" s="8">
        <v>284.0</v>
      </c>
      <c r="H288" s="388">
        <f t="shared" si="2"/>
        <v>1036.5</v>
      </c>
    </row>
    <row r="289" ht="15.75" customHeight="1">
      <c r="A289" s="388">
        <v>1037.0</v>
      </c>
      <c r="B289" s="389">
        <v>6772608.0</v>
      </c>
      <c r="C289" s="389">
        <f t="shared" si="1"/>
        <v>8807608</v>
      </c>
      <c r="D289" s="389">
        <v>67871.0000001</v>
      </c>
      <c r="E289" s="8">
        <v>285.0</v>
      </c>
      <c r="H289" s="388">
        <f t="shared" si="2"/>
        <v>1037</v>
      </c>
    </row>
    <row r="290" ht="15.75" customHeight="1">
      <c r="A290" s="388">
        <v>1037.5</v>
      </c>
      <c r="B290" s="389">
        <v>6806583.0</v>
      </c>
      <c r="C290" s="389">
        <f t="shared" si="1"/>
        <v>8841583</v>
      </c>
      <c r="D290" s="389">
        <v>68030.9999999</v>
      </c>
      <c r="E290" s="8">
        <v>286.0</v>
      </c>
      <c r="H290" s="388">
        <f t="shared" si="2"/>
        <v>1037.5</v>
      </c>
    </row>
    <row r="291" ht="15.75" customHeight="1">
      <c r="A291" s="388">
        <v>1038.0</v>
      </c>
      <c r="B291" s="389">
        <v>6840639.0</v>
      </c>
      <c r="C291" s="389">
        <f t="shared" si="1"/>
        <v>8875639</v>
      </c>
      <c r="D291" s="389">
        <v>68191.9999999</v>
      </c>
      <c r="E291" s="8">
        <v>287.0</v>
      </c>
      <c r="H291" s="388">
        <f t="shared" si="2"/>
        <v>1038</v>
      </c>
    </row>
    <row r="292" ht="15.75" customHeight="1">
      <c r="A292" s="388">
        <v>1038.5</v>
      </c>
      <c r="B292" s="389">
        <v>6874775.0</v>
      </c>
      <c r="C292" s="389">
        <f t="shared" si="1"/>
        <v>8909775</v>
      </c>
      <c r="D292" s="389">
        <v>68352.0</v>
      </c>
      <c r="E292" s="8">
        <v>288.0</v>
      </c>
      <c r="H292" s="388">
        <f t="shared" si="2"/>
        <v>1038.5</v>
      </c>
    </row>
    <row r="293" ht="15.75" customHeight="1">
      <c r="A293" s="388">
        <v>1039.0</v>
      </c>
      <c r="B293" s="389">
        <v>6908992.0</v>
      </c>
      <c r="C293" s="389">
        <f t="shared" si="1"/>
        <v>8943992</v>
      </c>
      <c r="D293" s="389">
        <v>68513.0</v>
      </c>
      <c r="E293" s="8">
        <v>289.0</v>
      </c>
      <c r="H293" s="388">
        <f t="shared" si="2"/>
        <v>1039</v>
      </c>
    </row>
    <row r="294" ht="15.75" customHeight="1">
      <c r="A294" s="388">
        <v>1039.5</v>
      </c>
      <c r="B294" s="389">
        <v>6943288.0</v>
      </c>
      <c r="C294" s="389">
        <f t="shared" si="1"/>
        <v>8978288</v>
      </c>
      <c r="D294" s="389">
        <v>68672.9999999</v>
      </c>
      <c r="E294" s="8">
        <v>290.0</v>
      </c>
      <c r="H294" s="388">
        <f t="shared" si="2"/>
        <v>1039.5</v>
      </c>
    </row>
    <row r="295" ht="15.75" customHeight="1">
      <c r="A295" s="388">
        <v>1040.0</v>
      </c>
      <c r="B295" s="389">
        <v>6977665.0</v>
      </c>
      <c r="C295" s="389">
        <f t="shared" si="1"/>
        <v>9012665</v>
      </c>
      <c r="D295" s="389">
        <v>68833.9999999</v>
      </c>
      <c r="E295" s="8">
        <v>291.0</v>
      </c>
      <c r="H295" s="388">
        <f t="shared" si="2"/>
        <v>1040</v>
      </c>
    </row>
    <row r="296" ht="15.75" customHeight="1">
      <c r="A296" s="388">
        <v>1040.5</v>
      </c>
      <c r="B296" s="389">
        <v>7012124.0</v>
      </c>
      <c r="C296" s="389">
        <f t="shared" si="1"/>
        <v>9047124</v>
      </c>
      <c r="D296" s="389">
        <v>69003.0</v>
      </c>
      <c r="E296" s="8">
        <v>292.0</v>
      </c>
      <c r="H296" s="388">
        <f t="shared" si="2"/>
        <v>1040.5</v>
      </c>
    </row>
    <row r="297" ht="15.75" customHeight="1">
      <c r="A297" s="388">
        <v>1041.0</v>
      </c>
      <c r="B297" s="389">
        <v>7046668.0</v>
      </c>
      <c r="C297" s="389">
        <f t="shared" si="1"/>
        <v>9081668</v>
      </c>
      <c r="D297" s="389">
        <v>69171.0</v>
      </c>
      <c r="E297" s="8">
        <v>293.0</v>
      </c>
      <c r="H297" s="388">
        <f t="shared" si="2"/>
        <v>1041</v>
      </c>
    </row>
    <row r="298" ht="15.75" customHeight="1">
      <c r="A298" s="388">
        <v>1041.5</v>
      </c>
      <c r="B298" s="389">
        <v>7081296.0</v>
      </c>
      <c r="C298" s="389">
        <f t="shared" si="1"/>
        <v>9116296</v>
      </c>
      <c r="D298" s="389">
        <v>69339.9999999</v>
      </c>
      <c r="E298" s="8">
        <v>294.0</v>
      </c>
      <c r="H298" s="388">
        <f t="shared" si="2"/>
        <v>1041.5</v>
      </c>
    </row>
    <row r="299" ht="15.75" customHeight="1">
      <c r="A299" s="388">
        <v>1042.0</v>
      </c>
      <c r="B299" s="389">
        <v>7116008.0</v>
      </c>
      <c r="C299" s="389">
        <f t="shared" si="1"/>
        <v>9151008</v>
      </c>
      <c r="D299" s="389">
        <v>69509.0000001</v>
      </c>
      <c r="E299" s="8">
        <v>295.0</v>
      </c>
      <c r="H299" s="388">
        <f t="shared" si="2"/>
        <v>1042</v>
      </c>
    </row>
    <row r="300" ht="15.75" customHeight="1">
      <c r="A300" s="388">
        <v>1042.5</v>
      </c>
      <c r="B300" s="389">
        <v>7150804.0</v>
      </c>
      <c r="C300" s="389">
        <f t="shared" si="1"/>
        <v>9185804</v>
      </c>
      <c r="D300" s="389">
        <v>69677.0000001</v>
      </c>
      <c r="E300" s="8">
        <v>296.0</v>
      </c>
      <c r="H300" s="388">
        <f t="shared" si="2"/>
        <v>1042.5</v>
      </c>
    </row>
    <row r="301" ht="15.75" customHeight="1">
      <c r="A301" s="388">
        <v>1043.0</v>
      </c>
      <c r="B301" s="389">
        <v>7185685.0</v>
      </c>
      <c r="C301" s="389">
        <f t="shared" si="1"/>
        <v>9220685</v>
      </c>
      <c r="D301" s="389">
        <v>69846.0</v>
      </c>
      <c r="E301" s="8">
        <v>297.0</v>
      </c>
      <c r="H301" s="388">
        <f t="shared" si="2"/>
        <v>1043</v>
      </c>
    </row>
    <row r="302" ht="15.75" customHeight="1">
      <c r="A302" s="388">
        <v>1043.5</v>
      </c>
      <c r="B302" s="389">
        <v>7220651.0</v>
      </c>
      <c r="C302" s="389">
        <f t="shared" si="1"/>
        <v>9255651</v>
      </c>
      <c r="D302" s="389">
        <v>70014.9999999</v>
      </c>
      <c r="E302" s="8">
        <v>298.0</v>
      </c>
      <c r="H302" s="388">
        <f t="shared" si="2"/>
        <v>1043.5</v>
      </c>
    </row>
    <row r="303" ht="15.75" customHeight="1">
      <c r="A303" s="388">
        <v>1044.0</v>
      </c>
      <c r="B303" s="389">
        <v>7255700.0</v>
      </c>
      <c r="C303" s="389">
        <f t="shared" si="1"/>
        <v>9290700</v>
      </c>
      <c r="D303" s="389">
        <v>70184.0000001</v>
      </c>
      <c r="E303" s="8">
        <v>299.0</v>
      </c>
      <c r="H303" s="388">
        <f t="shared" si="2"/>
        <v>1044</v>
      </c>
    </row>
    <row r="304" ht="15.75" customHeight="1">
      <c r="A304" s="388">
        <v>1044.5</v>
      </c>
      <c r="B304" s="389">
        <v>7290834.0</v>
      </c>
      <c r="C304" s="389">
        <f t="shared" si="1"/>
        <v>9325834</v>
      </c>
      <c r="D304" s="389">
        <v>70352.0000001</v>
      </c>
      <c r="E304" s="8">
        <v>300.0</v>
      </c>
      <c r="H304" s="388">
        <f t="shared" si="2"/>
        <v>1044.5</v>
      </c>
    </row>
    <row r="305" ht="15.75" customHeight="1">
      <c r="A305" s="388">
        <v>1045.0</v>
      </c>
      <c r="B305" s="389">
        <v>7326052.0</v>
      </c>
      <c r="C305" s="389">
        <f t="shared" si="1"/>
        <v>9361052</v>
      </c>
      <c r="D305" s="389">
        <v>70521.0</v>
      </c>
      <c r="E305" s="8">
        <v>301.0</v>
      </c>
      <c r="H305" s="388">
        <f t="shared" si="2"/>
        <v>1045</v>
      </c>
    </row>
    <row r="306" ht="15.75" customHeight="1">
      <c r="A306" s="388">
        <v>1045.5</v>
      </c>
      <c r="B306" s="389">
        <v>7361355.0</v>
      </c>
      <c r="C306" s="389">
        <f t="shared" si="1"/>
        <v>9396355</v>
      </c>
      <c r="D306" s="389">
        <v>70689.9999999</v>
      </c>
      <c r="E306" s="8">
        <v>302.0</v>
      </c>
      <c r="H306" s="388">
        <f t="shared" si="2"/>
        <v>1045.5</v>
      </c>
    </row>
    <row r="307" ht="15.75" customHeight="1">
      <c r="A307" s="388">
        <v>1046.0</v>
      </c>
      <c r="B307" s="389">
        <v>7396742.0</v>
      </c>
      <c r="C307" s="389">
        <f t="shared" si="1"/>
        <v>9431742</v>
      </c>
      <c r="D307" s="389">
        <v>70857.9999999</v>
      </c>
      <c r="E307" s="8">
        <v>303.0</v>
      </c>
      <c r="H307" s="388">
        <f t="shared" si="2"/>
        <v>1046</v>
      </c>
    </row>
    <row r="308" ht="15.75" customHeight="1">
      <c r="A308" s="388">
        <v>1046.5</v>
      </c>
      <c r="B308" s="389">
        <v>7432213.0</v>
      </c>
      <c r="C308" s="389">
        <f t="shared" si="1"/>
        <v>9467213</v>
      </c>
      <c r="D308" s="389">
        <v>71027.0</v>
      </c>
      <c r="E308" s="8">
        <v>304.0</v>
      </c>
      <c r="H308" s="388">
        <f t="shared" si="2"/>
        <v>1046.5</v>
      </c>
    </row>
    <row r="309" ht="15.75" customHeight="1">
      <c r="A309" s="388">
        <v>1047.0</v>
      </c>
      <c r="B309" s="389">
        <v>7467768.0</v>
      </c>
      <c r="C309" s="389">
        <f t="shared" si="1"/>
        <v>9502768</v>
      </c>
      <c r="D309" s="389">
        <v>71196.0</v>
      </c>
      <c r="E309" s="8">
        <v>305.0</v>
      </c>
      <c r="H309" s="388">
        <f t="shared" si="2"/>
        <v>1047</v>
      </c>
    </row>
    <row r="310" ht="15.75" customHeight="1">
      <c r="A310" s="388">
        <v>1047.5</v>
      </c>
      <c r="B310" s="389">
        <v>7503408.0</v>
      </c>
      <c r="C310" s="389">
        <f t="shared" si="1"/>
        <v>9538408</v>
      </c>
      <c r="D310" s="389">
        <v>71364.0</v>
      </c>
      <c r="E310" s="8">
        <v>306.0</v>
      </c>
      <c r="H310" s="388">
        <f t="shared" si="2"/>
        <v>1047.5</v>
      </c>
    </row>
    <row r="311" ht="15.75" customHeight="1">
      <c r="A311" s="388">
        <v>1048.0</v>
      </c>
      <c r="B311" s="389">
        <v>7539138.0</v>
      </c>
      <c r="C311" s="389">
        <f t="shared" si="1"/>
        <v>9574138</v>
      </c>
      <c r="D311" s="389">
        <v>71533.0000001</v>
      </c>
      <c r="E311" s="8">
        <v>307.0</v>
      </c>
      <c r="H311" s="388">
        <f t="shared" si="2"/>
        <v>1048</v>
      </c>
    </row>
    <row r="312" ht="15.75" customHeight="1">
      <c r="A312" s="388">
        <v>1048.5</v>
      </c>
      <c r="B312" s="389">
        <v>7574938.0</v>
      </c>
      <c r="C312" s="389">
        <f t="shared" si="1"/>
        <v>9609938</v>
      </c>
      <c r="D312" s="389">
        <v>71702.0</v>
      </c>
      <c r="E312" s="8">
        <v>308.0</v>
      </c>
      <c r="H312" s="388">
        <f t="shared" si="2"/>
        <v>1048.5</v>
      </c>
    </row>
    <row r="313" ht="15.75" customHeight="1">
      <c r="A313" s="388">
        <v>1049.0</v>
      </c>
      <c r="B313" s="389">
        <v>7610838.0</v>
      </c>
      <c r="C313" s="389">
        <f t="shared" si="1"/>
        <v>9645838</v>
      </c>
      <c r="D313" s="389">
        <v>71870.9999999</v>
      </c>
      <c r="E313" s="8">
        <v>309.0</v>
      </c>
      <c r="H313" s="388">
        <f t="shared" si="2"/>
        <v>1049</v>
      </c>
    </row>
    <row r="314" ht="15.75" customHeight="1">
      <c r="A314" s="388">
        <v>1049.5</v>
      </c>
      <c r="B314" s="389">
        <v>7646818.0</v>
      </c>
      <c r="C314" s="389">
        <f t="shared" si="1"/>
        <v>9681818</v>
      </c>
      <c r="D314" s="389">
        <v>72038.9999999</v>
      </c>
      <c r="E314" s="8">
        <v>310.0</v>
      </c>
      <c r="H314" s="388">
        <f t="shared" si="2"/>
        <v>1049.5</v>
      </c>
    </row>
    <row r="315" ht="15.75" customHeight="1">
      <c r="A315" s="388">
        <v>1050.0</v>
      </c>
      <c r="B315" s="389">
        <v>7682878.0</v>
      </c>
      <c r="C315" s="389">
        <f t="shared" si="1"/>
        <v>9717878</v>
      </c>
      <c r="D315" s="389">
        <v>72208.0000001</v>
      </c>
      <c r="E315" s="8">
        <v>311.0</v>
      </c>
      <c r="H315" s="388">
        <f t="shared" si="2"/>
        <v>1050</v>
      </c>
    </row>
    <row r="316" ht="15.75" customHeight="1">
      <c r="A316" s="388">
        <v>1050.5</v>
      </c>
      <c r="B316" s="389">
        <v>7719018.0</v>
      </c>
      <c r="C316" s="389">
        <f t="shared" si="1"/>
        <v>9754018</v>
      </c>
      <c r="D316" s="389">
        <v>72393.0</v>
      </c>
      <c r="E316" s="8">
        <v>312.0</v>
      </c>
      <c r="H316" s="388">
        <f t="shared" si="2"/>
        <v>1050.5</v>
      </c>
    </row>
    <row r="317" ht="15.75" customHeight="1">
      <c r="A317" s="388">
        <v>1051.0</v>
      </c>
      <c r="B317" s="389">
        <v>7755258.0</v>
      </c>
      <c r="C317" s="389">
        <f t="shared" si="1"/>
        <v>9790258</v>
      </c>
      <c r="D317" s="389">
        <v>72573.9999999</v>
      </c>
      <c r="E317" s="8">
        <v>313.0</v>
      </c>
      <c r="H317" s="388">
        <f t="shared" si="2"/>
        <v>1051</v>
      </c>
    </row>
    <row r="318" ht="15.75" customHeight="1">
      <c r="A318" s="388">
        <v>1051.5</v>
      </c>
      <c r="B318" s="389">
        <v>7791588.0</v>
      </c>
      <c r="C318" s="389">
        <f t="shared" si="1"/>
        <v>9826588</v>
      </c>
      <c r="D318" s="389">
        <v>72755.0000001</v>
      </c>
      <c r="E318" s="8">
        <v>314.0</v>
      </c>
      <c r="H318" s="388">
        <f t="shared" si="2"/>
        <v>1051.5</v>
      </c>
    </row>
    <row r="319" ht="15.75" customHeight="1">
      <c r="A319" s="388">
        <v>1052.0</v>
      </c>
      <c r="B319" s="389">
        <v>7828018.0</v>
      </c>
      <c r="C319" s="389">
        <f t="shared" si="1"/>
        <v>9863018</v>
      </c>
      <c r="D319" s="389">
        <v>72936.0</v>
      </c>
      <c r="E319" s="8">
        <v>315.0</v>
      </c>
      <c r="H319" s="388">
        <f t="shared" si="2"/>
        <v>1052</v>
      </c>
    </row>
    <row r="320" ht="15.75" customHeight="1">
      <c r="A320" s="388">
        <v>1052.5</v>
      </c>
      <c r="B320" s="389">
        <v>7864528.0</v>
      </c>
      <c r="C320" s="389">
        <f t="shared" si="1"/>
        <v>9899528</v>
      </c>
      <c r="D320" s="389">
        <v>73117.0000001</v>
      </c>
      <c r="E320" s="8">
        <v>316.0</v>
      </c>
      <c r="H320" s="388">
        <f t="shared" si="2"/>
        <v>1052.5</v>
      </c>
    </row>
    <row r="321" ht="15.75" customHeight="1">
      <c r="A321" s="388">
        <v>1053.0</v>
      </c>
      <c r="B321" s="389">
        <v>7901128.0</v>
      </c>
      <c r="C321" s="389">
        <f t="shared" si="1"/>
        <v>9936128</v>
      </c>
      <c r="D321" s="389">
        <v>73298.0</v>
      </c>
      <c r="E321" s="8">
        <v>317.0</v>
      </c>
      <c r="H321" s="388">
        <f t="shared" si="2"/>
        <v>1053</v>
      </c>
    </row>
    <row r="322" ht="15.75" customHeight="1">
      <c r="A322" s="388">
        <v>1053.5</v>
      </c>
      <c r="B322" s="389">
        <v>7937828.0</v>
      </c>
      <c r="C322" s="389">
        <f t="shared" si="1"/>
        <v>9972828</v>
      </c>
      <c r="D322" s="389">
        <v>73479.0000001</v>
      </c>
      <c r="E322" s="8">
        <v>318.0</v>
      </c>
      <c r="H322" s="388">
        <f t="shared" si="2"/>
        <v>1053.5</v>
      </c>
    </row>
    <row r="323" ht="15.75" customHeight="1">
      <c r="A323" s="388">
        <v>1054.0</v>
      </c>
      <c r="B323" s="389">
        <v>7974608.0</v>
      </c>
      <c r="C323" s="389">
        <f t="shared" si="1"/>
        <v>10009608</v>
      </c>
      <c r="D323" s="389">
        <v>73660.0</v>
      </c>
      <c r="E323" s="8">
        <v>319.0</v>
      </c>
      <c r="H323" s="388">
        <f t="shared" si="2"/>
        <v>1054</v>
      </c>
    </row>
    <row r="324" ht="15.75" customHeight="1">
      <c r="A324" s="388">
        <v>1054.5</v>
      </c>
      <c r="B324" s="389">
        <v>8011488.0</v>
      </c>
      <c r="C324" s="389">
        <f t="shared" si="1"/>
        <v>10046488</v>
      </c>
      <c r="D324" s="389">
        <v>73840.9999999</v>
      </c>
      <c r="E324" s="8">
        <v>320.0</v>
      </c>
      <c r="H324" s="388">
        <f t="shared" si="2"/>
        <v>1054.5</v>
      </c>
    </row>
    <row r="325" ht="15.75" customHeight="1">
      <c r="A325" s="388">
        <v>1055.0</v>
      </c>
      <c r="B325" s="389">
        <v>8048458.0</v>
      </c>
      <c r="C325" s="389">
        <f t="shared" si="1"/>
        <v>10083458</v>
      </c>
      <c r="D325" s="389">
        <v>74022.0</v>
      </c>
      <c r="E325" s="8">
        <v>321.0</v>
      </c>
      <c r="H325" s="388">
        <f t="shared" si="2"/>
        <v>1055</v>
      </c>
    </row>
    <row r="326" ht="15.75" customHeight="1">
      <c r="A326" s="388">
        <v>1055.5</v>
      </c>
      <c r="B326" s="389">
        <v>8085508.0</v>
      </c>
      <c r="C326" s="389">
        <f t="shared" si="1"/>
        <v>10120508</v>
      </c>
      <c r="D326" s="389">
        <v>74202.9999999</v>
      </c>
      <c r="E326" s="8">
        <v>322.0</v>
      </c>
      <c r="H326" s="388">
        <f t="shared" si="2"/>
        <v>1055.5</v>
      </c>
    </row>
    <row r="327" ht="15.75" customHeight="1">
      <c r="A327" s="388">
        <v>1056.0</v>
      </c>
      <c r="B327" s="389">
        <v>8122657.99999</v>
      </c>
      <c r="C327" s="389">
        <f t="shared" si="1"/>
        <v>10157658</v>
      </c>
      <c r="D327" s="389">
        <v>74384.0</v>
      </c>
      <c r="E327" s="8">
        <v>323.0</v>
      </c>
      <c r="H327" s="388">
        <f t="shared" si="2"/>
        <v>1056</v>
      </c>
    </row>
    <row r="328" ht="15.75" customHeight="1">
      <c r="A328" s="388">
        <v>1056.5</v>
      </c>
      <c r="B328" s="389">
        <v>8159897.99997</v>
      </c>
      <c r="C328" s="389">
        <f t="shared" si="1"/>
        <v>10194898</v>
      </c>
      <c r="D328" s="389">
        <v>74564.9999999</v>
      </c>
      <c r="E328" s="8">
        <v>324.0</v>
      </c>
      <c r="H328" s="388">
        <f t="shared" si="2"/>
        <v>1056.5</v>
      </c>
    </row>
    <row r="329" ht="15.75" customHeight="1">
      <c r="A329" s="388">
        <v>1057.0</v>
      </c>
      <c r="B329" s="389">
        <v>8197217.99999</v>
      </c>
      <c r="C329" s="389">
        <f t="shared" si="1"/>
        <v>10232218</v>
      </c>
      <c r="D329" s="389">
        <v>74746.0000001</v>
      </c>
      <c r="E329" s="8">
        <v>325.0</v>
      </c>
      <c r="H329" s="388">
        <f t="shared" si="2"/>
        <v>1057</v>
      </c>
    </row>
    <row r="330" ht="15.75" customHeight="1">
      <c r="A330" s="388">
        <v>1057.5</v>
      </c>
      <c r="B330" s="389">
        <v>8234638.00002</v>
      </c>
      <c r="C330" s="389">
        <f t="shared" si="1"/>
        <v>10269638</v>
      </c>
      <c r="D330" s="389">
        <v>74927.0</v>
      </c>
      <c r="E330" s="8">
        <v>326.0</v>
      </c>
      <c r="H330" s="388">
        <f t="shared" si="2"/>
        <v>1057.5</v>
      </c>
    </row>
    <row r="331" ht="15.75" customHeight="1">
      <c r="A331" s="388">
        <v>1058.0</v>
      </c>
      <c r="B331" s="389">
        <v>8272148.0</v>
      </c>
      <c r="C331" s="389">
        <f t="shared" si="1"/>
        <v>10307148</v>
      </c>
      <c r="D331" s="389">
        <v>75108.0000001</v>
      </c>
      <c r="E331" s="8">
        <v>327.0</v>
      </c>
      <c r="H331" s="388">
        <f t="shared" si="2"/>
        <v>1058</v>
      </c>
    </row>
    <row r="332" ht="15.75" customHeight="1">
      <c r="A332" s="388">
        <v>1058.5</v>
      </c>
      <c r="B332" s="389">
        <v>8309748.0</v>
      </c>
      <c r="C332" s="389">
        <f t="shared" si="1"/>
        <v>10344748</v>
      </c>
      <c r="D332" s="389">
        <v>75289.0</v>
      </c>
      <c r="E332" s="8">
        <v>328.0</v>
      </c>
      <c r="H332" s="388">
        <f t="shared" si="2"/>
        <v>1058.5</v>
      </c>
    </row>
    <row r="333" ht="15.75" customHeight="1">
      <c r="A333" s="388">
        <v>1059.0</v>
      </c>
      <c r="B333" s="389">
        <v>8347438.00004</v>
      </c>
      <c r="C333" s="389">
        <f t="shared" si="1"/>
        <v>10382438</v>
      </c>
      <c r="D333" s="389">
        <v>75470.0000001</v>
      </c>
      <c r="E333" s="8">
        <v>329.0</v>
      </c>
      <c r="H333" s="388">
        <f t="shared" si="2"/>
        <v>1059</v>
      </c>
    </row>
    <row r="334" ht="15.75" customHeight="1">
      <c r="A334" s="388">
        <v>1059.5</v>
      </c>
      <c r="B334" s="389">
        <v>8385218.00002</v>
      </c>
      <c r="C334" s="389">
        <f t="shared" si="1"/>
        <v>10420218</v>
      </c>
      <c r="D334" s="389">
        <v>75651.0</v>
      </c>
      <c r="E334" s="8">
        <v>330.0</v>
      </c>
      <c r="H334" s="388">
        <f t="shared" si="2"/>
        <v>1059.5</v>
      </c>
    </row>
    <row r="335" ht="15.75" customHeight="1">
      <c r="A335" s="388">
        <v>1060.0</v>
      </c>
      <c r="B335" s="389">
        <v>8423088.00003</v>
      </c>
      <c r="C335" s="389">
        <f t="shared" si="1"/>
        <v>10458088</v>
      </c>
      <c r="D335" s="389">
        <v>75831.9999999</v>
      </c>
      <c r="E335" s="8">
        <v>331.0</v>
      </c>
      <c r="H335" s="388">
        <f t="shared" si="2"/>
        <v>1060</v>
      </c>
    </row>
    <row r="336" ht="15.75" customHeight="1">
      <c r="A336" s="388">
        <v>1060.5</v>
      </c>
      <c r="B336" s="389">
        <v>8461047.99999</v>
      </c>
      <c r="C336" s="389">
        <f t="shared" si="1"/>
        <v>10496048</v>
      </c>
      <c r="D336" s="389">
        <v>76013.0</v>
      </c>
      <c r="E336" s="8">
        <v>332.0</v>
      </c>
      <c r="H336" s="388">
        <f t="shared" si="2"/>
        <v>1060.5</v>
      </c>
    </row>
    <row r="337" ht="15.75" customHeight="1">
      <c r="A337" s="388">
        <v>1061.0</v>
      </c>
      <c r="B337" s="389">
        <v>8499097.99997</v>
      </c>
      <c r="C337" s="389">
        <f t="shared" si="1"/>
        <v>10534098</v>
      </c>
      <c r="D337" s="389">
        <v>76193.9999999</v>
      </c>
      <c r="E337" s="8">
        <v>333.0</v>
      </c>
      <c r="H337" s="388">
        <f t="shared" si="2"/>
        <v>1061</v>
      </c>
    </row>
    <row r="338" ht="15.75" customHeight="1">
      <c r="A338" s="388">
        <v>1061.5</v>
      </c>
      <c r="B338" s="389">
        <v>8537247.99997</v>
      </c>
      <c r="C338" s="389">
        <f t="shared" si="1"/>
        <v>10572248</v>
      </c>
      <c r="D338" s="389">
        <v>76375.0</v>
      </c>
      <c r="E338" s="8">
        <v>334.0</v>
      </c>
      <c r="H338" s="388">
        <f t="shared" si="2"/>
        <v>1061.5</v>
      </c>
    </row>
    <row r="339" ht="15.75" customHeight="1">
      <c r="A339" s="388">
        <v>1062.0</v>
      </c>
      <c r="B339" s="389">
        <v>8575478.00001</v>
      </c>
      <c r="C339" s="389">
        <f t="shared" si="1"/>
        <v>10610478</v>
      </c>
      <c r="D339" s="389">
        <v>76555.9999999</v>
      </c>
      <c r="E339" s="8">
        <v>335.0</v>
      </c>
      <c r="H339" s="388">
        <f t="shared" si="2"/>
        <v>1062</v>
      </c>
    </row>
    <row r="340" ht="15.75" customHeight="1">
      <c r="A340" s="388">
        <v>1062.5</v>
      </c>
      <c r="B340" s="389">
        <v>8613798.0</v>
      </c>
      <c r="C340" s="389">
        <f t="shared" si="1"/>
        <v>10648798</v>
      </c>
      <c r="D340" s="389">
        <v>76737.0000001</v>
      </c>
      <c r="E340" s="8">
        <v>336.0</v>
      </c>
      <c r="H340" s="388">
        <f t="shared" si="2"/>
        <v>1062.5</v>
      </c>
    </row>
    <row r="341" ht="15.75" customHeight="1">
      <c r="A341" s="388">
        <v>1063.0</v>
      </c>
      <c r="B341" s="389">
        <v>8652218.0</v>
      </c>
      <c r="C341" s="389">
        <f t="shared" si="1"/>
        <v>10687218</v>
      </c>
      <c r="D341" s="389">
        <v>76918.0</v>
      </c>
      <c r="E341" s="8">
        <v>337.0</v>
      </c>
      <c r="H341" s="388">
        <f t="shared" si="2"/>
        <v>1063</v>
      </c>
    </row>
    <row r="342" ht="15.75" customHeight="1">
      <c r="A342" s="388">
        <v>1063.5</v>
      </c>
      <c r="B342" s="389">
        <v>8690717.99996</v>
      </c>
      <c r="C342" s="389">
        <f t="shared" si="1"/>
        <v>10725718</v>
      </c>
      <c r="D342" s="389">
        <v>77099.0000001</v>
      </c>
      <c r="E342" s="8">
        <v>338.0</v>
      </c>
      <c r="H342" s="388">
        <f t="shared" si="2"/>
        <v>1063.5</v>
      </c>
    </row>
    <row r="343" ht="15.75" customHeight="1">
      <c r="A343" s="388">
        <v>1064.0</v>
      </c>
      <c r="B343" s="389">
        <v>8729308.00003</v>
      </c>
      <c r="C343" s="389">
        <f t="shared" si="1"/>
        <v>10764308</v>
      </c>
      <c r="D343" s="389">
        <v>77280.0</v>
      </c>
      <c r="E343" s="8">
        <v>339.0</v>
      </c>
      <c r="H343" s="388">
        <f t="shared" si="2"/>
        <v>1064</v>
      </c>
    </row>
    <row r="344" ht="15.75" customHeight="1">
      <c r="A344" s="388">
        <v>1064.5</v>
      </c>
      <c r="B344" s="389">
        <v>8767998.00004</v>
      </c>
      <c r="C344" s="389">
        <f t="shared" si="1"/>
        <v>10802998</v>
      </c>
      <c r="D344" s="389">
        <v>77461.0000001</v>
      </c>
      <c r="E344" s="8">
        <v>340.0</v>
      </c>
      <c r="H344" s="388">
        <f t="shared" si="2"/>
        <v>1064.5</v>
      </c>
    </row>
    <row r="345" ht="15.75" customHeight="1">
      <c r="A345" s="388">
        <v>1065.0</v>
      </c>
      <c r="B345" s="389">
        <v>8806768.0</v>
      </c>
      <c r="C345" s="389">
        <f t="shared" si="1"/>
        <v>10841768</v>
      </c>
      <c r="D345" s="389">
        <v>77642.0</v>
      </c>
      <c r="E345" s="8">
        <v>341.0</v>
      </c>
      <c r="H345" s="388">
        <f t="shared" si="2"/>
        <v>1065</v>
      </c>
    </row>
    <row r="346" ht="15.75" customHeight="1">
      <c r="A346" s="388">
        <v>1065.5</v>
      </c>
      <c r="B346" s="389">
        <v>8845637.99998</v>
      </c>
      <c r="C346" s="389">
        <f t="shared" si="1"/>
        <v>10880638</v>
      </c>
      <c r="D346" s="389">
        <v>77822.9999999</v>
      </c>
      <c r="E346" s="8">
        <v>342.0</v>
      </c>
      <c r="H346" s="388">
        <f t="shared" si="2"/>
        <v>1065.5</v>
      </c>
    </row>
    <row r="347" ht="15.75" customHeight="1">
      <c r="A347" s="388">
        <v>1066.0</v>
      </c>
      <c r="B347" s="389">
        <v>8884597.99999</v>
      </c>
      <c r="C347" s="389">
        <f t="shared" si="1"/>
        <v>10919598</v>
      </c>
      <c r="D347" s="389">
        <v>78004.0</v>
      </c>
      <c r="E347" s="8">
        <v>343.0</v>
      </c>
      <c r="H347" s="388">
        <f t="shared" si="2"/>
        <v>1066</v>
      </c>
    </row>
    <row r="348" ht="15.75" customHeight="1">
      <c r="A348" s="388">
        <v>1066.5</v>
      </c>
      <c r="B348" s="389">
        <v>8923637.99996</v>
      </c>
      <c r="C348" s="389">
        <f t="shared" si="1"/>
        <v>10958638</v>
      </c>
      <c r="D348" s="389">
        <v>78184.9999999</v>
      </c>
      <c r="E348" s="8">
        <v>344.0</v>
      </c>
      <c r="H348" s="388">
        <f t="shared" si="2"/>
        <v>1066.5</v>
      </c>
    </row>
    <row r="349" ht="15.75" customHeight="1">
      <c r="A349" s="388">
        <v>1067.0</v>
      </c>
      <c r="B349" s="389">
        <v>8962778.00002</v>
      </c>
      <c r="C349" s="389">
        <f t="shared" si="1"/>
        <v>10997778</v>
      </c>
      <c r="D349" s="389">
        <v>78366.0</v>
      </c>
      <c r="E349" s="8">
        <v>345.0</v>
      </c>
      <c r="H349" s="388">
        <f t="shared" si="2"/>
        <v>1067</v>
      </c>
    </row>
    <row r="350" ht="15.75" customHeight="1">
      <c r="A350" s="388">
        <v>1067.5</v>
      </c>
      <c r="B350" s="389">
        <v>9002008.00003</v>
      </c>
      <c r="C350" s="389">
        <f t="shared" si="1"/>
        <v>11037008</v>
      </c>
      <c r="D350" s="389">
        <v>78546.9999999</v>
      </c>
      <c r="E350" s="8">
        <v>346.0</v>
      </c>
      <c r="H350" s="388">
        <f t="shared" si="2"/>
        <v>1067.5</v>
      </c>
    </row>
    <row r="351" ht="15.75" customHeight="1">
      <c r="A351" s="388">
        <v>1068.0</v>
      </c>
      <c r="B351" s="389">
        <v>9041327.99999</v>
      </c>
      <c r="C351" s="389">
        <f t="shared" si="1"/>
        <v>11076328</v>
      </c>
      <c r="D351" s="389">
        <v>78726.9999999</v>
      </c>
      <c r="E351" s="8">
        <v>347.0</v>
      </c>
      <c r="H351" s="388">
        <f t="shared" si="2"/>
        <v>1068</v>
      </c>
    </row>
    <row r="352" ht="15.75" customHeight="1">
      <c r="A352" s="388">
        <v>1068.5</v>
      </c>
      <c r="B352" s="389">
        <v>9080737.99998</v>
      </c>
      <c r="C352" s="389">
        <f t="shared" si="1"/>
        <v>11115738</v>
      </c>
      <c r="D352" s="389">
        <v>78908.0000001</v>
      </c>
      <c r="E352" s="8">
        <v>348.0</v>
      </c>
      <c r="H352" s="388">
        <f t="shared" si="2"/>
        <v>1068.5</v>
      </c>
    </row>
    <row r="353" ht="15.75" customHeight="1">
      <c r="A353" s="388">
        <v>1069.0</v>
      </c>
      <c r="B353" s="389">
        <v>9120237.99999</v>
      </c>
      <c r="C353" s="389">
        <f t="shared" si="1"/>
        <v>11155238</v>
      </c>
      <c r="D353" s="389">
        <v>79089.0</v>
      </c>
      <c r="E353" s="8">
        <v>349.0</v>
      </c>
      <c r="H353" s="388">
        <f t="shared" si="2"/>
        <v>1069</v>
      </c>
    </row>
    <row r="354" ht="15.75" customHeight="1">
      <c r="A354" s="388">
        <v>1069.5</v>
      </c>
      <c r="B354" s="389">
        <v>9159828.00003</v>
      </c>
      <c r="C354" s="389">
        <f t="shared" si="1"/>
        <v>11194828</v>
      </c>
      <c r="D354" s="389">
        <v>79270.0000001</v>
      </c>
      <c r="E354" s="8">
        <v>350.0</v>
      </c>
      <c r="H354" s="388">
        <f t="shared" si="2"/>
        <v>1069.5</v>
      </c>
    </row>
    <row r="355" ht="15.75" customHeight="1">
      <c r="A355" s="388">
        <v>1070.0</v>
      </c>
      <c r="B355" s="389">
        <v>9199508.00002</v>
      </c>
      <c r="C355" s="389">
        <f t="shared" si="1"/>
        <v>11234508</v>
      </c>
      <c r="D355" s="389">
        <v>79451.0</v>
      </c>
      <c r="E355" s="8">
        <v>351.0</v>
      </c>
      <c r="H355" s="388">
        <f t="shared" si="2"/>
        <v>1070</v>
      </c>
    </row>
    <row r="356" ht="15.75" customHeight="1">
      <c r="A356" s="388">
        <v>1070.5</v>
      </c>
      <c r="B356" s="389">
        <v>9239267.99997</v>
      </c>
      <c r="C356" s="389">
        <f t="shared" si="1"/>
        <v>11274268</v>
      </c>
      <c r="D356" s="389">
        <v>79616.9999999</v>
      </c>
      <c r="E356" s="8">
        <v>352.0</v>
      </c>
      <c r="H356" s="388">
        <f t="shared" si="2"/>
        <v>1070.5</v>
      </c>
    </row>
    <row r="357" ht="15.75" customHeight="1">
      <c r="A357" s="388">
        <v>1071.0</v>
      </c>
      <c r="B357" s="389">
        <v>9279118.00003</v>
      </c>
      <c r="C357" s="389">
        <f t="shared" si="1"/>
        <v>11314118</v>
      </c>
      <c r="D357" s="389">
        <v>79787.0</v>
      </c>
      <c r="E357" s="8">
        <v>353.0</v>
      </c>
      <c r="H357" s="388">
        <f t="shared" si="2"/>
        <v>1071</v>
      </c>
    </row>
    <row r="358" ht="15.75" customHeight="1">
      <c r="A358" s="388">
        <v>1071.5</v>
      </c>
      <c r="B358" s="389">
        <v>9319047.99997</v>
      </c>
      <c r="C358" s="389">
        <f t="shared" si="1"/>
        <v>11354048</v>
      </c>
      <c r="D358" s="389">
        <v>79957.0</v>
      </c>
      <c r="E358" s="8">
        <v>354.0</v>
      </c>
      <c r="H358" s="388">
        <f t="shared" si="2"/>
        <v>1071.5</v>
      </c>
    </row>
    <row r="359" ht="15.75" customHeight="1">
      <c r="A359" s="388">
        <v>1072.0</v>
      </c>
      <c r="B359" s="389">
        <v>9359068.00002</v>
      </c>
      <c r="C359" s="389">
        <f t="shared" si="1"/>
        <v>11394068</v>
      </c>
      <c r="D359" s="389">
        <v>80127.0000001</v>
      </c>
      <c r="E359" s="8">
        <v>355.0</v>
      </c>
      <c r="H359" s="388">
        <f t="shared" si="2"/>
        <v>1072</v>
      </c>
    </row>
    <row r="360" ht="15.75" customHeight="1">
      <c r="A360" s="388">
        <v>1072.5</v>
      </c>
      <c r="B360" s="389">
        <v>9399178.00002</v>
      </c>
      <c r="C360" s="389">
        <f t="shared" si="1"/>
        <v>11434178</v>
      </c>
      <c r="D360" s="389">
        <v>80296.9999999</v>
      </c>
      <c r="E360" s="8">
        <v>356.0</v>
      </c>
      <c r="H360" s="388">
        <f t="shared" si="2"/>
        <v>1072.5</v>
      </c>
    </row>
    <row r="361" ht="15.75" customHeight="1">
      <c r="A361" s="388">
        <v>1073.0</v>
      </c>
      <c r="B361" s="389">
        <v>9439367.99998</v>
      </c>
      <c r="C361" s="389">
        <f t="shared" si="1"/>
        <v>11474368</v>
      </c>
      <c r="D361" s="389">
        <v>80468.0000001</v>
      </c>
      <c r="E361" s="8">
        <v>357.0</v>
      </c>
      <c r="H361" s="388">
        <f t="shared" si="2"/>
        <v>1073</v>
      </c>
    </row>
    <row r="362" ht="15.75" customHeight="1">
      <c r="A362" s="388">
        <v>1073.5</v>
      </c>
      <c r="B362" s="389">
        <v>9479647.99996</v>
      </c>
      <c r="C362" s="389">
        <f t="shared" si="1"/>
        <v>11514648</v>
      </c>
      <c r="D362" s="389">
        <v>80637.9999999</v>
      </c>
      <c r="E362" s="8">
        <v>358.0</v>
      </c>
      <c r="H362" s="388">
        <f t="shared" si="2"/>
        <v>1073.5</v>
      </c>
    </row>
    <row r="363" ht="15.75" customHeight="1">
      <c r="A363" s="388">
        <v>1074.0</v>
      </c>
      <c r="B363" s="389">
        <v>9520007.99999</v>
      </c>
      <c r="C363" s="389">
        <f t="shared" si="1"/>
        <v>11555008</v>
      </c>
      <c r="D363" s="389">
        <v>80807.9999999</v>
      </c>
      <c r="E363" s="8">
        <v>359.0</v>
      </c>
      <c r="H363" s="388">
        <f t="shared" si="2"/>
        <v>1074</v>
      </c>
    </row>
    <row r="364" ht="15.75" customHeight="1">
      <c r="A364" s="388">
        <v>1074.5</v>
      </c>
      <c r="B364" s="389">
        <v>9560447.99999</v>
      </c>
      <c r="C364" s="389">
        <f t="shared" si="1"/>
        <v>11595448</v>
      </c>
      <c r="D364" s="389">
        <v>80978.0</v>
      </c>
      <c r="E364" s="8">
        <v>360.0</v>
      </c>
      <c r="H364" s="388">
        <f t="shared" si="2"/>
        <v>1074.5</v>
      </c>
    </row>
    <row r="365" ht="15.75" customHeight="1">
      <c r="A365" s="388">
        <v>1075.0</v>
      </c>
      <c r="B365" s="389">
        <v>9600987.99999</v>
      </c>
      <c r="C365" s="389">
        <f t="shared" si="1"/>
        <v>11635988</v>
      </c>
      <c r="D365" s="389">
        <v>81148.0</v>
      </c>
      <c r="E365" s="8">
        <v>361.0</v>
      </c>
      <c r="H365" s="388">
        <f t="shared" si="2"/>
        <v>1075</v>
      </c>
    </row>
    <row r="366" ht="15.75" customHeight="1">
      <c r="A366" s="388">
        <v>1075.5</v>
      </c>
      <c r="B366" s="389">
        <v>9641597.99997</v>
      </c>
      <c r="C366" s="389">
        <f t="shared" si="1"/>
        <v>11676598</v>
      </c>
      <c r="D366" s="389">
        <v>81318.0000001</v>
      </c>
      <c r="E366" s="8">
        <v>362.0</v>
      </c>
      <c r="H366" s="388">
        <f t="shared" si="2"/>
        <v>1075.5</v>
      </c>
    </row>
    <row r="367" ht="15.75" customHeight="1">
      <c r="A367" s="388">
        <v>1076.0</v>
      </c>
      <c r="B367" s="389">
        <v>9682297.99998</v>
      </c>
      <c r="C367" s="389">
        <f t="shared" si="1"/>
        <v>11717298</v>
      </c>
      <c r="D367" s="389">
        <v>81488.0000001</v>
      </c>
      <c r="E367" s="8">
        <v>363.0</v>
      </c>
      <c r="H367" s="388">
        <f t="shared" si="2"/>
        <v>1076</v>
      </c>
    </row>
    <row r="368" ht="15.75" customHeight="1">
      <c r="A368" s="388">
        <v>1076.5</v>
      </c>
      <c r="B368" s="389">
        <v>9723088.00002</v>
      </c>
      <c r="C368" s="389">
        <f t="shared" si="1"/>
        <v>11758088</v>
      </c>
      <c r="D368" s="389">
        <v>81657.9999999</v>
      </c>
      <c r="E368" s="8">
        <v>364.0</v>
      </c>
      <c r="H368" s="388">
        <f t="shared" si="2"/>
        <v>1076.5</v>
      </c>
    </row>
    <row r="369" ht="15.75" customHeight="1">
      <c r="A369" s="388">
        <v>1077.0</v>
      </c>
      <c r="B369" s="389">
        <v>9763958.00002</v>
      </c>
      <c r="C369" s="389">
        <f t="shared" si="1"/>
        <v>11798958</v>
      </c>
      <c r="D369" s="389">
        <v>81828.0</v>
      </c>
      <c r="E369" s="8">
        <v>365.0</v>
      </c>
      <c r="H369" s="388">
        <f t="shared" si="2"/>
        <v>1077</v>
      </c>
    </row>
    <row r="370" ht="15.75" customHeight="1">
      <c r="A370" s="388">
        <v>1077.5</v>
      </c>
      <c r="B370" s="389">
        <v>9804917.99997</v>
      </c>
      <c r="C370" s="389">
        <f t="shared" si="1"/>
        <v>11839918</v>
      </c>
      <c r="D370" s="389">
        <v>81998.9999999</v>
      </c>
      <c r="E370" s="8">
        <v>366.0</v>
      </c>
      <c r="H370" s="388">
        <f t="shared" si="2"/>
        <v>1077.5</v>
      </c>
    </row>
    <row r="371" ht="15.75" customHeight="1">
      <c r="A371" s="388">
        <v>1078.0</v>
      </c>
      <c r="B371" s="389">
        <v>9845958.00004</v>
      </c>
      <c r="C371" s="389">
        <f t="shared" si="1"/>
        <v>11880958</v>
      </c>
      <c r="D371" s="389">
        <v>82169.0</v>
      </c>
      <c r="E371" s="8">
        <v>367.0</v>
      </c>
      <c r="H371" s="388">
        <f t="shared" si="2"/>
        <v>1078</v>
      </c>
    </row>
    <row r="372" ht="15.75" customHeight="1">
      <c r="A372" s="388">
        <v>1078.5</v>
      </c>
      <c r="B372" s="389">
        <v>9887087.99997</v>
      </c>
      <c r="C372" s="389">
        <f t="shared" si="1"/>
        <v>11922088</v>
      </c>
      <c r="D372" s="389">
        <v>82339.0</v>
      </c>
      <c r="E372" s="8">
        <v>368.0</v>
      </c>
      <c r="H372" s="388">
        <f t="shared" si="2"/>
        <v>1078.5</v>
      </c>
    </row>
    <row r="373" ht="15.75" customHeight="1">
      <c r="A373" s="388">
        <v>1079.0</v>
      </c>
      <c r="B373" s="389">
        <v>9928298.00003</v>
      </c>
      <c r="C373" s="389">
        <f t="shared" si="1"/>
        <v>11963298</v>
      </c>
      <c r="D373" s="389">
        <v>82509.0</v>
      </c>
      <c r="E373" s="8">
        <v>369.0</v>
      </c>
      <c r="H373" s="388">
        <f t="shared" si="2"/>
        <v>1079</v>
      </c>
    </row>
    <row r="374" ht="15.75" customHeight="1">
      <c r="A374" s="388">
        <v>1079.5</v>
      </c>
      <c r="B374" s="389">
        <v>9969598.00004</v>
      </c>
      <c r="C374" s="389">
        <f t="shared" si="1"/>
        <v>12004598</v>
      </c>
      <c r="D374" s="389">
        <v>82679.0000001</v>
      </c>
      <c r="E374" s="8">
        <v>370.0</v>
      </c>
      <c r="H374" s="388">
        <f t="shared" si="2"/>
        <v>1079.5</v>
      </c>
    </row>
    <row r="375" ht="15.75" customHeight="1">
      <c r="A375" s="388">
        <v>1080.0</v>
      </c>
      <c r="B375" s="389">
        <v>1.0010978E7</v>
      </c>
      <c r="C375" s="389">
        <f t="shared" si="1"/>
        <v>12045978</v>
      </c>
      <c r="D375" s="389">
        <v>82848.9999999</v>
      </c>
      <c r="E375" s="8">
        <v>371.0</v>
      </c>
      <c r="H375" s="388">
        <f t="shared" si="2"/>
        <v>1080</v>
      </c>
    </row>
    <row r="376" ht="15.75" customHeight="1">
      <c r="A376" s="388">
        <v>1080.5</v>
      </c>
      <c r="B376" s="389">
        <v>1.0052448E7</v>
      </c>
      <c r="C376" s="389">
        <f t="shared" si="1"/>
        <v>12087448</v>
      </c>
      <c r="D376" s="389">
        <v>83007.9</v>
      </c>
      <c r="E376" s="8">
        <v>372.0</v>
      </c>
      <c r="H376" s="388">
        <f t="shared" si="2"/>
        <v>1080.5</v>
      </c>
    </row>
    <row r="377" ht="15.75" customHeight="1">
      <c r="A377" s="388">
        <v>1081.0</v>
      </c>
      <c r="B377" s="389">
        <v>1.0093998E7</v>
      </c>
      <c r="C377" s="389">
        <f t="shared" si="1"/>
        <v>12128998</v>
      </c>
      <c r="D377" s="389">
        <v>83166.7999999</v>
      </c>
      <c r="E377" s="8">
        <v>373.0</v>
      </c>
      <c r="H377" s="388">
        <f t="shared" si="2"/>
        <v>1081</v>
      </c>
    </row>
    <row r="378" ht="15.75" customHeight="1">
      <c r="A378" s="388">
        <v>1081.5</v>
      </c>
      <c r="B378" s="389">
        <v>1.0135648E7</v>
      </c>
      <c r="C378" s="389">
        <f t="shared" si="1"/>
        <v>12170648</v>
      </c>
      <c r="D378" s="389">
        <v>83325.7</v>
      </c>
      <c r="E378" s="8">
        <v>374.0</v>
      </c>
      <c r="H378" s="388">
        <f t="shared" si="2"/>
        <v>1081.5</v>
      </c>
    </row>
    <row r="379" ht="15.75" customHeight="1">
      <c r="A379" s="388">
        <v>1082.0</v>
      </c>
      <c r="B379" s="389">
        <v>1.0177378E7</v>
      </c>
      <c r="C379" s="389">
        <f t="shared" si="1"/>
        <v>12212378</v>
      </c>
      <c r="D379" s="389">
        <v>83484.5999999</v>
      </c>
      <c r="E379" s="8">
        <v>375.0</v>
      </c>
      <c r="H379" s="388">
        <f t="shared" si="2"/>
        <v>1082</v>
      </c>
    </row>
    <row r="380" ht="15.75" customHeight="1">
      <c r="A380" s="388">
        <v>1082.5</v>
      </c>
      <c r="B380" s="389">
        <v>1.0219198E7</v>
      </c>
      <c r="C380" s="389">
        <f t="shared" si="1"/>
        <v>12254198</v>
      </c>
      <c r="D380" s="389">
        <v>83643.5</v>
      </c>
      <c r="E380" s="8">
        <v>376.0</v>
      </c>
      <c r="H380" s="388">
        <f t="shared" si="2"/>
        <v>1082.5</v>
      </c>
    </row>
    <row r="381" ht="15.75" customHeight="1">
      <c r="A381" s="388">
        <v>1083.0</v>
      </c>
      <c r="B381" s="389">
        <v>1.0261098E7</v>
      </c>
      <c r="C381" s="389">
        <f t="shared" si="1"/>
        <v>12296098</v>
      </c>
      <c r="D381" s="389">
        <v>83802.4000001</v>
      </c>
      <c r="E381" s="8">
        <v>377.0</v>
      </c>
      <c r="H381" s="388">
        <f t="shared" si="2"/>
        <v>1083</v>
      </c>
    </row>
    <row r="382" ht="15.75" customHeight="1">
      <c r="A382" s="388">
        <v>1083.5</v>
      </c>
      <c r="B382" s="389">
        <v>1.0303098E7</v>
      </c>
      <c r="C382" s="389">
        <f t="shared" si="1"/>
        <v>12338098</v>
      </c>
      <c r="D382" s="389">
        <v>83961.3</v>
      </c>
      <c r="E382" s="8">
        <v>378.0</v>
      </c>
      <c r="H382" s="388">
        <f t="shared" si="2"/>
        <v>1083.5</v>
      </c>
    </row>
    <row r="383" ht="15.75" customHeight="1">
      <c r="A383" s="388">
        <v>1084.0</v>
      </c>
      <c r="B383" s="389">
        <v>1.0345178E7</v>
      </c>
      <c r="C383" s="389">
        <f t="shared" si="1"/>
        <v>12380178</v>
      </c>
      <c r="D383" s="389">
        <v>84120.2000001</v>
      </c>
      <c r="E383" s="8">
        <v>379.0</v>
      </c>
      <c r="H383" s="388">
        <f t="shared" si="2"/>
        <v>1084</v>
      </c>
    </row>
    <row r="384" ht="15.75" customHeight="1">
      <c r="A384" s="388">
        <v>1084.5</v>
      </c>
      <c r="B384" s="389">
        <v>1.0387348E7</v>
      </c>
      <c r="C384" s="389">
        <f t="shared" si="1"/>
        <v>12422348</v>
      </c>
      <c r="D384" s="389">
        <v>84279.1</v>
      </c>
      <c r="E384" s="8">
        <v>380.0</v>
      </c>
      <c r="H384" s="388">
        <f t="shared" si="2"/>
        <v>1084.5</v>
      </c>
    </row>
    <row r="385" ht="15.75" customHeight="1">
      <c r="A385" s="388">
        <v>1085.0</v>
      </c>
      <c r="B385" s="389">
        <v>1.0429608E7</v>
      </c>
      <c r="C385" s="389">
        <f t="shared" si="1"/>
        <v>12464608</v>
      </c>
      <c r="D385" s="389">
        <v>84438.0000001</v>
      </c>
      <c r="E385" s="8">
        <v>381.0</v>
      </c>
      <c r="H385" s="388">
        <f t="shared" si="2"/>
        <v>1085</v>
      </c>
    </row>
    <row r="386" ht="15.75" customHeight="1">
      <c r="A386" s="388">
        <v>1085.5</v>
      </c>
      <c r="B386" s="389">
        <v>1.0471948E7</v>
      </c>
      <c r="C386" s="389">
        <f t="shared" si="1"/>
        <v>12506948</v>
      </c>
      <c r="D386" s="389">
        <v>84596.9</v>
      </c>
      <c r="E386" s="8">
        <v>382.0</v>
      </c>
      <c r="H386" s="388">
        <f t="shared" si="2"/>
        <v>1085.5</v>
      </c>
    </row>
    <row r="387" ht="15.75" customHeight="1">
      <c r="A387" s="388">
        <v>1086.0</v>
      </c>
      <c r="B387" s="389">
        <v>1.0514388E7</v>
      </c>
      <c r="C387" s="389">
        <f t="shared" si="1"/>
        <v>12549388</v>
      </c>
      <c r="D387" s="389">
        <v>84755.8000001</v>
      </c>
      <c r="E387" s="8">
        <v>383.0</v>
      </c>
      <c r="H387" s="388">
        <f t="shared" si="2"/>
        <v>1086</v>
      </c>
    </row>
    <row r="388" ht="15.75" customHeight="1">
      <c r="A388" s="388">
        <v>1086.5</v>
      </c>
      <c r="B388" s="389">
        <v>1.0556908E7</v>
      </c>
      <c r="C388" s="389">
        <f t="shared" si="1"/>
        <v>12591908</v>
      </c>
      <c r="D388" s="389">
        <v>84914.7</v>
      </c>
      <c r="E388" s="8">
        <v>384.0</v>
      </c>
      <c r="H388" s="388">
        <f t="shared" si="2"/>
        <v>1086.5</v>
      </c>
    </row>
    <row r="389" ht="15.75" customHeight="1">
      <c r="A389" s="388">
        <v>1087.0</v>
      </c>
      <c r="B389" s="389">
        <v>1.0599518E7</v>
      </c>
      <c r="C389" s="389">
        <f t="shared" si="1"/>
        <v>12634518</v>
      </c>
      <c r="D389" s="389">
        <v>85073.6000001</v>
      </c>
      <c r="E389" s="8">
        <v>385.0</v>
      </c>
      <c r="H389" s="388">
        <f t="shared" si="2"/>
        <v>1087</v>
      </c>
    </row>
    <row r="390" ht="15.75" customHeight="1">
      <c r="A390" s="388">
        <v>1087.5</v>
      </c>
      <c r="B390" s="389">
        <v>1.0642218E7</v>
      </c>
      <c r="C390" s="389">
        <f t="shared" si="1"/>
        <v>12677218</v>
      </c>
      <c r="D390" s="389">
        <v>85232.4999999</v>
      </c>
      <c r="E390" s="8">
        <v>386.0</v>
      </c>
      <c r="H390" s="388">
        <f t="shared" si="2"/>
        <v>1087.5</v>
      </c>
    </row>
    <row r="391" ht="15.75" customHeight="1">
      <c r="A391" s="388">
        <v>1088.0</v>
      </c>
      <c r="B391" s="389">
        <v>1.0684998E7</v>
      </c>
      <c r="C391" s="389">
        <f t="shared" si="1"/>
        <v>12719998</v>
      </c>
      <c r="D391" s="389">
        <v>85391.4000001</v>
      </c>
      <c r="E391" s="8">
        <v>387.0</v>
      </c>
      <c r="H391" s="388">
        <f t="shared" si="2"/>
        <v>1088</v>
      </c>
    </row>
    <row r="392" ht="15.75" customHeight="1">
      <c r="A392" s="388">
        <v>1088.5</v>
      </c>
      <c r="B392" s="389">
        <v>1.0727868E7</v>
      </c>
      <c r="C392" s="389">
        <f t="shared" si="1"/>
        <v>12762868</v>
      </c>
      <c r="D392" s="389">
        <v>85550.2999999</v>
      </c>
      <c r="E392" s="8">
        <v>388.0</v>
      </c>
      <c r="H392" s="388">
        <f t="shared" si="2"/>
        <v>1088.5</v>
      </c>
    </row>
    <row r="393" ht="15.75" customHeight="1">
      <c r="A393" s="388">
        <v>1089.0</v>
      </c>
      <c r="B393" s="389">
        <v>1.0770828E7</v>
      </c>
      <c r="C393" s="389">
        <f t="shared" si="1"/>
        <v>12805828</v>
      </c>
      <c r="D393" s="389">
        <v>85709.2000001</v>
      </c>
      <c r="E393" s="8">
        <v>389.0</v>
      </c>
      <c r="H393" s="388">
        <f t="shared" si="2"/>
        <v>1089</v>
      </c>
    </row>
    <row r="394" ht="15.75" customHeight="1">
      <c r="A394" s="388">
        <v>1089.5</v>
      </c>
      <c r="B394" s="389">
        <v>1.0813878E7</v>
      </c>
      <c r="C394" s="389">
        <f t="shared" si="1"/>
        <v>12848878</v>
      </c>
      <c r="D394" s="389">
        <v>85868.0999999</v>
      </c>
      <c r="E394" s="8">
        <v>390.0</v>
      </c>
      <c r="H394" s="388">
        <f t="shared" si="2"/>
        <v>1089.5</v>
      </c>
    </row>
    <row r="395" ht="15.75" customHeight="1">
      <c r="A395" s="388">
        <v>1090.0</v>
      </c>
      <c r="B395" s="389">
        <v>1.0857008E7</v>
      </c>
      <c r="C395" s="389">
        <f t="shared" si="1"/>
        <v>12892008</v>
      </c>
      <c r="D395" s="389">
        <v>86027.0</v>
      </c>
      <c r="E395" s="8">
        <v>391.0</v>
      </c>
      <c r="H395" s="388">
        <f t="shared" si="2"/>
        <v>1090</v>
      </c>
    </row>
    <row r="396" ht="15.75" customHeight="1">
      <c r="A396" s="388">
        <v>1090.5</v>
      </c>
      <c r="B396" s="389">
        <v>1.0900238E7</v>
      </c>
      <c r="C396" s="389">
        <f t="shared" si="1"/>
        <v>12935238</v>
      </c>
      <c r="D396" s="389">
        <v>86185.8999999</v>
      </c>
      <c r="E396" s="8">
        <v>392.0</v>
      </c>
      <c r="H396" s="388">
        <f t="shared" si="2"/>
        <v>1090.5</v>
      </c>
    </row>
    <row r="397" ht="15.75" customHeight="1">
      <c r="A397" s="388">
        <v>1091.0</v>
      </c>
      <c r="B397" s="389">
        <v>1.0943548E7</v>
      </c>
      <c r="C397" s="389">
        <f t="shared" si="1"/>
        <v>12978548</v>
      </c>
      <c r="D397" s="389">
        <v>86344.8</v>
      </c>
      <c r="E397" s="8">
        <v>393.0</v>
      </c>
      <c r="H397" s="388">
        <f t="shared" si="2"/>
        <v>1091</v>
      </c>
    </row>
    <row r="398" ht="15.75" customHeight="1">
      <c r="A398" s="388">
        <v>1091.5</v>
      </c>
      <c r="B398" s="389">
        <v>1.0986938E7</v>
      </c>
      <c r="C398" s="389">
        <f t="shared" si="1"/>
        <v>13021938</v>
      </c>
      <c r="D398" s="389">
        <v>86503.6999999</v>
      </c>
      <c r="E398" s="8">
        <v>394.0</v>
      </c>
      <c r="H398" s="388">
        <f t="shared" si="2"/>
        <v>1091.5</v>
      </c>
    </row>
    <row r="399" ht="15.75" customHeight="1">
      <c r="A399" s="388">
        <v>1092.0</v>
      </c>
      <c r="B399" s="389">
        <v>1.1030418E7</v>
      </c>
      <c r="C399" s="389">
        <f t="shared" si="1"/>
        <v>13065418</v>
      </c>
      <c r="D399" s="389">
        <v>86662.6</v>
      </c>
      <c r="E399" s="8">
        <v>395.0</v>
      </c>
      <c r="H399" s="388">
        <f t="shared" si="2"/>
        <v>1092</v>
      </c>
    </row>
    <row r="400" ht="15.75" customHeight="1">
      <c r="A400" s="388">
        <v>1092.5</v>
      </c>
      <c r="B400" s="389">
        <v>1.1073988E7</v>
      </c>
      <c r="C400" s="389">
        <f t="shared" si="1"/>
        <v>13108988</v>
      </c>
      <c r="D400" s="389">
        <v>86821.4999999</v>
      </c>
      <c r="E400" s="8">
        <v>396.0</v>
      </c>
      <c r="H400" s="388">
        <f t="shared" si="2"/>
        <v>1092.5</v>
      </c>
    </row>
    <row r="401" ht="15.75" customHeight="1">
      <c r="A401" s="388">
        <v>1093.0</v>
      </c>
      <c r="B401" s="389">
        <v>1.1117638E7</v>
      </c>
      <c r="C401" s="389">
        <f t="shared" si="1"/>
        <v>13152638</v>
      </c>
      <c r="D401" s="389">
        <v>86980.4</v>
      </c>
      <c r="E401" s="8">
        <v>397.0</v>
      </c>
      <c r="H401" s="388">
        <f t="shared" si="2"/>
        <v>1093</v>
      </c>
    </row>
    <row r="402" ht="15.75" customHeight="1">
      <c r="A402" s="388">
        <v>1093.5</v>
      </c>
      <c r="B402" s="389">
        <v>1.1161378E7</v>
      </c>
      <c r="C402" s="389">
        <f t="shared" si="1"/>
        <v>13196378</v>
      </c>
      <c r="D402" s="389">
        <v>87139.2999999</v>
      </c>
      <c r="E402" s="8">
        <v>398.0</v>
      </c>
      <c r="H402" s="388">
        <f t="shared" si="2"/>
        <v>1093.5</v>
      </c>
    </row>
    <row r="403" ht="15.75" customHeight="1">
      <c r="A403" s="388">
        <v>1094.0</v>
      </c>
      <c r="B403" s="389">
        <v>1.1205208E7</v>
      </c>
      <c r="C403" s="389">
        <f t="shared" si="1"/>
        <v>13240208</v>
      </c>
      <c r="D403" s="389">
        <v>87298.2</v>
      </c>
      <c r="E403" s="8">
        <v>399.0</v>
      </c>
      <c r="H403" s="388">
        <f t="shared" si="2"/>
        <v>1094</v>
      </c>
    </row>
    <row r="404" ht="15.75" customHeight="1">
      <c r="A404" s="388">
        <v>1094.5</v>
      </c>
      <c r="B404" s="389">
        <v>1.1249118E7</v>
      </c>
      <c r="C404" s="389">
        <f t="shared" si="1"/>
        <v>13284118</v>
      </c>
      <c r="D404" s="389">
        <v>87457.0999999</v>
      </c>
      <c r="E404" s="8">
        <v>400.0</v>
      </c>
      <c r="H404" s="388">
        <f t="shared" si="2"/>
        <v>1094.5</v>
      </c>
    </row>
    <row r="405" ht="15.75" customHeight="1">
      <c r="A405" s="388">
        <v>1095.0</v>
      </c>
      <c r="B405" s="389">
        <v>1.1293118E7</v>
      </c>
      <c r="C405" s="389">
        <f t="shared" si="1"/>
        <v>13328118</v>
      </c>
      <c r="D405" s="389">
        <v>87616.0629805</v>
      </c>
      <c r="E405" s="8">
        <v>401.0</v>
      </c>
      <c r="H405" s="388">
        <f t="shared" si="2"/>
        <v>1095</v>
      </c>
    </row>
    <row r="406" ht="15.75" customHeight="1">
      <c r="A406" s="388">
        <v>1095.5</v>
      </c>
      <c r="B406" s="389">
        <v>1.13369551197E7</v>
      </c>
      <c r="C406" s="389">
        <f t="shared" si="1"/>
        <v>13371955.12</v>
      </c>
      <c r="D406" s="389">
        <v>87761.0532729</v>
      </c>
      <c r="E406" s="8">
        <v>402.0</v>
      </c>
      <c r="H406" s="388">
        <f t="shared" si="2"/>
        <v>1095.5</v>
      </c>
    </row>
    <row r="407" ht="15.75" customHeight="1">
      <c r="A407" s="388">
        <v>1096.0</v>
      </c>
      <c r="B407" s="389">
        <v>1.13808728075E7</v>
      </c>
      <c r="C407" s="389">
        <f t="shared" si="1"/>
        <v>13415872.81</v>
      </c>
      <c r="D407" s="389">
        <v>87923.7290096</v>
      </c>
      <c r="E407" s="8">
        <v>403.0</v>
      </c>
      <c r="H407" s="388">
        <f t="shared" si="2"/>
        <v>1096</v>
      </c>
    </row>
    <row r="408" ht="15.75" customHeight="1">
      <c r="A408" s="388">
        <v>1096.5</v>
      </c>
      <c r="B408" s="389">
        <v>1.14248724439E7</v>
      </c>
      <c r="C408" s="389">
        <f t="shared" si="1"/>
        <v>13459872.44</v>
      </c>
      <c r="D408" s="389">
        <v>88069.7401398</v>
      </c>
      <c r="E408" s="8">
        <v>404.0</v>
      </c>
      <c r="H408" s="388">
        <f t="shared" si="2"/>
        <v>1096.5</v>
      </c>
    </row>
    <row r="409" ht="15.75" customHeight="1">
      <c r="A409" s="388">
        <v>1097.0</v>
      </c>
      <c r="B409" s="389">
        <v>1.14689462475E7</v>
      </c>
      <c r="C409" s="389">
        <f t="shared" si="1"/>
        <v>13503946.25</v>
      </c>
      <c r="D409" s="389">
        <v>88240.769955</v>
      </c>
      <c r="E409" s="8">
        <v>405.0</v>
      </c>
      <c r="H409" s="388">
        <f t="shared" si="2"/>
        <v>1097</v>
      </c>
    </row>
    <row r="410" ht="15.75" customHeight="1">
      <c r="A410" s="388">
        <v>1097.5</v>
      </c>
      <c r="B410" s="389">
        <v>1.15131070817E7</v>
      </c>
      <c r="C410" s="389">
        <f t="shared" si="1"/>
        <v>13548107.08</v>
      </c>
      <c r="D410" s="389">
        <v>88399.7762586</v>
      </c>
      <c r="E410" s="8">
        <v>406.0</v>
      </c>
      <c r="H410" s="388">
        <f t="shared" si="2"/>
        <v>1097.5</v>
      </c>
    </row>
    <row r="411" ht="15.75" customHeight="1">
      <c r="A411" s="388">
        <v>1098.0</v>
      </c>
      <c r="B411" s="389">
        <v>1.15573469917E7</v>
      </c>
      <c r="C411" s="389">
        <f t="shared" si="1"/>
        <v>13592346.99</v>
      </c>
      <c r="D411" s="389">
        <v>88574.128722</v>
      </c>
      <c r="E411" s="8">
        <v>407.0</v>
      </c>
      <c r="H411" s="388">
        <f t="shared" si="2"/>
        <v>1098</v>
      </c>
    </row>
    <row r="412" ht="15.75" customHeight="1">
      <c r="A412" s="388">
        <v>1098.5</v>
      </c>
      <c r="B412" s="389">
        <v>1.16016736576E7</v>
      </c>
      <c r="C412" s="389">
        <f t="shared" si="1"/>
        <v>13636673.66</v>
      </c>
      <c r="D412" s="389">
        <v>88726.5688626</v>
      </c>
      <c r="E412" s="8">
        <v>408.0</v>
      </c>
      <c r="H412" s="388">
        <f t="shared" si="2"/>
        <v>1098.5</v>
      </c>
    </row>
    <row r="413" ht="15.75" customHeight="1">
      <c r="A413" s="388">
        <v>1099.0</v>
      </c>
      <c r="B413" s="389">
        <v>1.16460672685E7</v>
      </c>
      <c r="C413" s="389">
        <f t="shared" si="1"/>
        <v>13681067.27</v>
      </c>
      <c r="D413" s="389">
        <v>88904.0578249</v>
      </c>
      <c r="E413" s="8">
        <v>409.0</v>
      </c>
      <c r="H413" s="388">
        <f t="shared" si="2"/>
        <v>1099</v>
      </c>
    </row>
    <row r="414" ht="15.75" customHeight="1">
      <c r="A414" s="388">
        <v>1099.5</v>
      </c>
      <c r="B414" s="389">
        <v>1.16905768854E7</v>
      </c>
      <c r="C414" s="389">
        <f t="shared" si="1"/>
        <v>13725576.89</v>
      </c>
      <c r="D414" s="389">
        <v>89117.5339873</v>
      </c>
      <c r="E414" s="8">
        <v>410.0</v>
      </c>
      <c r="H414" s="388">
        <f t="shared" si="2"/>
        <v>1099.5</v>
      </c>
    </row>
    <row r="415" ht="15.75" customHeight="1">
      <c r="A415" s="388">
        <v>1100.0</v>
      </c>
      <c r="B415" s="389">
        <v>1.17351760511E7</v>
      </c>
      <c r="C415" s="389">
        <f t="shared" si="1"/>
        <v>13770176.05</v>
      </c>
      <c r="D415" s="389">
        <v>89299.8655946</v>
      </c>
      <c r="E415" s="8">
        <v>411.0</v>
      </c>
      <c r="H415" s="388">
        <f t="shared" si="2"/>
        <v>1100</v>
      </c>
    </row>
    <row r="416" ht="15.75" customHeight="1">
      <c r="A416" s="388">
        <v>1100.5</v>
      </c>
      <c r="B416" s="389">
        <v>1.17798668136E7</v>
      </c>
      <c r="C416" s="389">
        <f t="shared" si="1"/>
        <v>13814866.81</v>
      </c>
      <c r="D416" s="389">
        <v>89457.9466665</v>
      </c>
      <c r="E416" s="8">
        <v>412.0</v>
      </c>
      <c r="H416" s="388">
        <f t="shared" si="2"/>
        <v>1100.5</v>
      </c>
    </row>
    <row r="417" ht="15.75" customHeight="1">
      <c r="A417" s="388">
        <v>1101.0</v>
      </c>
      <c r="B417" s="389">
        <v>1.18246371015E7</v>
      </c>
      <c r="C417" s="389">
        <f t="shared" si="1"/>
        <v>13859637.1</v>
      </c>
      <c r="D417" s="389">
        <v>89646.3175814</v>
      </c>
      <c r="E417" s="8">
        <v>413.0</v>
      </c>
      <c r="H417" s="388">
        <f t="shared" si="2"/>
        <v>1101</v>
      </c>
    </row>
    <row r="418" ht="15.75" customHeight="1">
      <c r="A418" s="388">
        <v>1101.5</v>
      </c>
      <c r="B418" s="389">
        <v>1.18695022729E7</v>
      </c>
      <c r="C418" s="389">
        <f t="shared" si="1"/>
        <v>13904502.27</v>
      </c>
      <c r="D418" s="389">
        <v>89808.4648596</v>
      </c>
      <c r="E418" s="8">
        <v>414.0</v>
      </c>
      <c r="H418" s="388">
        <f t="shared" si="2"/>
        <v>1101.5</v>
      </c>
    </row>
    <row r="419" ht="15.75" customHeight="1">
      <c r="A419" s="388">
        <v>1102.0</v>
      </c>
      <c r="B419" s="389">
        <v>1.19144391276E7</v>
      </c>
      <c r="C419" s="389">
        <f t="shared" si="1"/>
        <v>13949439.13</v>
      </c>
      <c r="D419" s="389">
        <v>89969.5007274</v>
      </c>
      <c r="E419" s="8">
        <v>415.0</v>
      </c>
      <c r="H419" s="388">
        <f t="shared" si="2"/>
        <v>1102</v>
      </c>
    </row>
    <row r="420" ht="15.75" customHeight="1">
      <c r="A420" s="388">
        <v>1102.5</v>
      </c>
      <c r="B420" s="389">
        <v>1.19594785345E7</v>
      </c>
      <c r="C420" s="389">
        <f t="shared" si="1"/>
        <v>13994478.53</v>
      </c>
      <c r="D420" s="389">
        <v>90157.210661</v>
      </c>
      <c r="E420" s="8">
        <v>416.0</v>
      </c>
      <c r="H420" s="388">
        <f t="shared" si="2"/>
        <v>1102.5</v>
      </c>
    </row>
    <row r="421" ht="15.75" customHeight="1">
      <c r="A421" s="388">
        <v>1103.0</v>
      </c>
      <c r="B421" s="389">
        <v>1.20046024433E7</v>
      </c>
      <c r="C421" s="389">
        <f t="shared" si="1"/>
        <v>14039602.44</v>
      </c>
      <c r="D421" s="389">
        <v>90358.9268949</v>
      </c>
      <c r="E421" s="8">
        <v>417.0</v>
      </c>
      <c r="H421" s="388">
        <f t="shared" si="2"/>
        <v>1103</v>
      </c>
    </row>
    <row r="422" ht="15.75" customHeight="1">
      <c r="A422" s="388">
        <v>1103.5</v>
      </c>
      <c r="B422" s="389">
        <v>1.20498266301E7</v>
      </c>
      <c r="C422" s="389">
        <f t="shared" si="1"/>
        <v>14084826.63</v>
      </c>
      <c r="D422" s="389">
        <v>90532.3796397</v>
      </c>
      <c r="E422" s="8">
        <v>418.0</v>
      </c>
      <c r="H422" s="388">
        <f t="shared" si="2"/>
        <v>1103.5</v>
      </c>
    </row>
    <row r="423" ht="15.75" customHeight="1">
      <c r="A423" s="388">
        <v>1104.0</v>
      </c>
      <c r="B423" s="389">
        <v>1.2095140259E7</v>
      </c>
      <c r="C423" s="389">
        <f t="shared" si="1"/>
        <v>14130140.26</v>
      </c>
      <c r="D423" s="389">
        <v>90742.850396</v>
      </c>
      <c r="E423" s="8">
        <v>419.0</v>
      </c>
      <c r="H423" s="388">
        <f t="shared" si="2"/>
        <v>1104</v>
      </c>
    </row>
    <row r="424" ht="15.75" customHeight="1">
      <c r="A424" s="388">
        <v>1104.5</v>
      </c>
      <c r="B424" s="389">
        <v>1.21405603196E7</v>
      </c>
      <c r="C424" s="389">
        <f t="shared" si="1"/>
        <v>14175560.32</v>
      </c>
      <c r="D424" s="389">
        <v>90940.0221149</v>
      </c>
      <c r="E424" s="8">
        <v>420.0</v>
      </c>
      <c r="H424" s="388">
        <f t="shared" si="2"/>
        <v>1104.5</v>
      </c>
    </row>
    <row r="425" ht="15.75" customHeight="1">
      <c r="A425" s="388">
        <v>1105.0</v>
      </c>
      <c r="B425" s="389">
        <v>1.2186069168E7</v>
      </c>
      <c r="C425" s="389">
        <f t="shared" si="1"/>
        <v>14221069.17</v>
      </c>
      <c r="D425" s="389">
        <v>91125.8630083</v>
      </c>
      <c r="E425" s="8">
        <v>421.0</v>
      </c>
      <c r="H425" s="388">
        <f t="shared" si="2"/>
        <v>1105</v>
      </c>
    </row>
    <row r="426" ht="15.75" customHeight="1">
      <c r="A426" s="388">
        <v>1105.5</v>
      </c>
      <c r="B426" s="389">
        <v>1.22316910554E7</v>
      </c>
      <c r="C426" s="389">
        <f t="shared" si="1"/>
        <v>14266691.06</v>
      </c>
      <c r="D426" s="389">
        <v>91336.5630083</v>
      </c>
      <c r="E426" s="8">
        <v>422.0</v>
      </c>
      <c r="H426" s="388">
        <f t="shared" si="2"/>
        <v>1105.5</v>
      </c>
    </row>
    <row r="427" ht="15.75" customHeight="1">
      <c r="A427" s="388">
        <v>1106.0</v>
      </c>
      <c r="B427" s="389">
        <v>1.22774100627E7</v>
      </c>
      <c r="C427" s="389">
        <f t="shared" si="1"/>
        <v>14312410.06</v>
      </c>
      <c r="D427" s="389">
        <v>91559.7142525</v>
      </c>
      <c r="E427" s="8">
        <v>423.0</v>
      </c>
      <c r="H427" s="388">
        <f t="shared" si="2"/>
        <v>1106</v>
      </c>
    </row>
    <row r="428" ht="15.75" customHeight="1">
      <c r="A428" s="388">
        <v>1106.5</v>
      </c>
      <c r="B428" s="389">
        <v>1.23232478008E7</v>
      </c>
      <c r="C428" s="389">
        <f t="shared" si="1"/>
        <v>14358247.8</v>
      </c>
      <c r="D428" s="389">
        <v>91788.0772631</v>
      </c>
      <c r="E428" s="8">
        <v>424.0</v>
      </c>
      <c r="H428" s="388">
        <f t="shared" si="2"/>
        <v>1106.5</v>
      </c>
    </row>
    <row r="429" ht="15.75" customHeight="1">
      <c r="A429" s="388">
        <v>1107.0</v>
      </c>
      <c r="B429" s="389">
        <v>1.23691922433E7</v>
      </c>
      <c r="C429" s="389">
        <f t="shared" si="1"/>
        <v>14404192.24</v>
      </c>
      <c r="D429" s="389">
        <v>92005.5959515</v>
      </c>
      <c r="E429" s="8">
        <v>425.0</v>
      </c>
      <c r="H429" s="388">
        <f t="shared" si="2"/>
        <v>1107</v>
      </c>
    </row>
    <row r="430" ht="15.75" customHeight="1">
      <c r="A430" s="388">
        <v>1107.5</v>
      </c>
      <c r="B430" s="389">
        <v>1.2415245856E7</v>
      </c>
      <c r="C430" s="389">
        <f t="shared" si="1"/>
        <v>14450245.86</v>
      </c>
      <c r="D430" s="389">
        <v>92205.3494808</v>
      </c>
      <c r="E430" s="8">
        <v>426.0</v>
      </c>
      <c r="H430" s="388">
        <f t="shared" si="2"/>
        <v>1107.5</v>
      </c>
    </row>
    <row r="431" ht="15.75" customHeight="1">
      <c r="A431" s="388">
        <v>1108.0</v>
      </c>
      <c r="B431" s="389">
        <v>1.24614016615E7</v>
      </c>
      <c r="C431" s="389">
        <f t="shared" si="1"/>
        <v>14496401.66</v>
      </c>
      <c r="D431" s="389">
        <v>92446.7091558</v>
      </c>
      <c r="E431" s="8">
        <v>427.0</v>
      </c>
      <c r="H431" s="388">
        <f t="shared" si="2"/>
        <v>1108</v>
      </c>
    </row>
    <row r="432" ht="15.75" customHeight="1">
      <c r="A432" s="388">
        <v>1108.5</v>
      </c>
      <c r="B432" s="389">
        <v>1.25076736086E7</v>
      </c>
      <c r="C432" s="389">
        <f t="shared" si="1"/>
        <v>14542673.61</v>
      </c>
      <c r="D432" s="389">
        <v>92678.4042426</v>
      </c>
      <c r="E432" s="8">
        <v>428.0</v>
      </c>
      <c r="H432" s="388">
        <f t="shared" si="2"/>
        <v>1108.5</v>
      </c>
    </row>
    <row r="433" ht="15.75" customHeight="1">
      <c r="A433" s="388">
        <v>1109.0</v>
      </c>
      <c r="B433" s="389">
        <v>1.25540798163E7</v>
      </c>
      <c r="C433" s="389">
        <f t="shared" si="1"/>
        <v>14589079.82</v>
      </c>
      <c r="D433" s="389">
        <v>92962.6047333</v>
      </c>
      <c r="E433" s="8">
        <v>429.0</v>
      </c>
      <c r="H433" s="388">
        <f t="shared" si="2"/>
        <v>1109</v>
      </c>
    </row>
    <row r="434" ht="15.75" customHeight="1">
      <c r="A434" s="388">
        <v>1109.5</v>
      </c>
      <c r="B434" s="389">
        <v>1.26006139383E7</v>
      </c>
      <c r="C434" s="389">
        <f t="shared" si="1"/>
        <v>14635613.94</v>
      </c>
      <c r="D434" s="389">
        <v>93165.8566</v>
      </c>
      <c r="E434" s="8">
        <v>430.0</v>
      </c>
      <c r="H434" s="388">
        <f t="shared" si="2"/>
        <v>1109.5</v>
      </c>
    </row>
    <row r="435" ht="15.75" customHeight="1">
      <c r="A435" s="388">
        <v>1110.0</v>
      </c>
      <c r="B435" s="389">
        <v>1.26472472783E7</v>
      </c>
      <c r="C435" s="389">
        <f t="shared" si="1"/>
        <v>14682247.28</v>
      </c>
      <c r="D435" s="389">
        <v>93419.1801007</v>
      </c>
      <c r="E435" s="8">
        <v>431.0</v>
      </c>
      <c r="H435" s="388">
        <f t="shared" si="2"/>
        <v>1110</v>
      </c>
    </row>
    <row r="436" ht="15.75" customHeight="1">
      <c r="A436" s="388">
        <v>1110.5</v>
      </c>
      <c r="B436" s="389">
        <v>1.26940103447E7</v>
      </c>
      <c r="C436" s="389">
        <f t="shared" si="1"/>
        <v>14729010.34</v>
      </c>
      <c r="D436" s="389">
        <v>93634.5460671</v>
      </c>
      <c r="E436" s="8">
        <v>432.0</v>
      </c>
      <c r="H436" s="388">
        <f t="shared" si="2"/>
        <v>1110.5</v>
      </c>
    </row>
    <row r="437" ht="15.75" customHeight="1">
      <c r="A437" s="388">
        <v>1111.0</v>
      </c>
      <c r="B437" s="389">
        <v>1.27408762858E7</v>
      </c>
      <c r="C437" s="389">
        <f t="shared" si="1"/>
        <v>14775876.29</v>
      </c>
      <c r="D437" s="389">
        <v>93886.1058139</v>
      </c>
      <c r="E437" s="8">
        <v>433.0</v>
      </c>
      <c r="H437" s="388">
        <f t="shared" si="2"/>
        <v>1111</v>
      </c>
    </row>
    <row r="438" ht="15.75" customHeight="1">
      <c r="A438" s="388">
        <v>1111.5</v>
      </c>
      <c r="B438" s="389">
        <v>1.27878563157E7</v>
      </c>
      <c r="C438" s="389">
        <f t="shared" si="1"/>
        <v>14822856.32</v>
      </c>
      <c r="D438" s="389">
        <v>94064.2881306</v>
      </c>
      <c r="E438" s="8">
        <v>434.0</v>
      </c>
      <c r="H438" s="388">
        <f t="shared" si="2"/>
        <v>1111.5</v>
      </c>
    </row>
    <row r="439" ht="15.75" customHeight="1">
      <c r="A439" s="388">
        <v>1112.0</v>
      </c>
      <c r="B439" s="389">
        <v>1.2834932789E7</v>
      </c>
      <c r="C439" s="389">
        <f t="shared" si="1"/>
        <v>14869932.79</v>
      </c>
      <c r="D439" s="389">
        <v>94285.0566269</v>
      </c>
      <c r="E439" s="8">
        <v>435.0</v>
      </c>
      <c r="H439" s="388">
        <f t="shared" si="2"/>
        <v>1112</v>
      </c>
    </row>
    <row r="440" ht="15.75" customHeight="1">
      <c r="A440" s="388">
        <v>1112.5</v>
      </c>
      <c r="B440" s="389">
        <v>1.28821216684E7</v>
      </c>
      <c r="C440" s="389">
        <f t="shared" si="1"/>
        <v>14917121.67</v>
      </c>
      <c r="D440" s="389">
        <v>94473.6404328</v>
      </c>
      <c r="E440" s="8">
        <v>436.0</v>
      </c>
      <c r="H440" s="388">
        <f t="shared" si="2"/>
        <v>1112.5</v>
      </c>
    </row>
    <row r="441" ht="15.75" customHeight="1">
      <c r="A441" s="388">
        <v>1113.0</v>
      </c>
      <c r="B441" s="389">
        <v>1.29294007594E7</v>
      </c>
      <c r="C441" s="389">
        <f t="shared" si="1"/>
        <v>14964400.76</v>
      </c>
      <c r="D441" s="389">
        <v>94686.0490498</v>
      </c>
      <c r="E441" s="8">
        <v>437.0</v>
      </c>
      <c r="H441" s="388">
        <f t="shared" si="2"/>
        <v>1113</v>
      </c>
    </row>
    <row r="442" ht="15.75" customHeight="1">
      <c r="A442" s="388">
        <v>1113.5</v>
      </c>
      <c r="B442" s="389">
        <v>1.29767865714E7</v>
      </c>
      <c r="C442" s="389">
        <f t="shared" si="1"/>
        <v>15011786.57</v>
      </c>
      <c r="D442" s="389">
        <v>94850.912689</v>
      </c>
      <c r="E442" s="8">
        <v>438.0</v>
      </c>
      <c r="H442" s="388">
        <f t="shared" si="2"/>
        <v>1113.5</v>
      </c>
    </row>
    <row r="443" ht="15.75" customHeight="1">
      <c r="A443" s="388">
        <v>1114.0</v>
      </c>
      <c r="B443" s="389">
        <v>1.30242548974E7</v>
      </c>
      <c r="C443" s="389">
        <f t="shared" si="1"/>
        <v>15059254.9</v>
      </c>
      <c r="D443" s="389">
        <v>95055.8882978</v>
      </c>
      <c r="E443" s="8">
        <v>439.0</v>
      </c>
      <c r="H443" s="388">
        <f t="shared" si="2"/>
        <v>1114</v>
      </c>
    </row>
    <row r="444" ht="15.75" customHeight="1">
      <c r="A444" s="388">
        <v>1114.5</v>
      </c>
      <c r="B444" s="389">
        <v>1.30718196612E7</v>
      </c>
      <c r="C444" s="389">
        <f t="shared" si="1"/>
        <v>15106819.66</v>
      </c>
      <c r="D444" s="389">
        <v>95243.5830037</v>
      </c>
      <c r="E444" s="8">
        <v>440.0</v>
      </c>
      <c r="H444" s="388">
        <f t="shared" si="2"/>
        <v>1114.5</v>
      </c>
    </row>
    <row r="445" ht="15.75" customHeight="1">
      <c r="A445" s="388">
        <v>1115.0</v>
      </c>
      <c r="B445" s="389">
        <v>1.31194882087E7</v>
      </c>
      <c r="C445" s="389">
        <f t="shared" si="1"/>
        <v>15154488.21</v>
      </c>
      <c r="D445" s="389">
        <v>95459.938013</v>
      </c>
      <c r="E445" s="8">
        <v>441.0</v>
      </c>
      <c r="H445" s="388">
        <f t="shared" si="2"/>
        <v>1115</v>
      </c>
    </row>
    <row r="446" ht="15.75" customHeight="1">
      <c r="A446" s="388">
        <v>1115.5</v>
      </c>
      <c r="B446" s="389">
        <v>1.31672654873E7</v>
      </c>
      <c r="C446" s="389">
        <f t="shared" si="1"/>
        <v>15202265.49</v>
      </c>
      <c r="D446" s="389">
        <v>95643.9947371</v>
      </c>
      <c r="E446" s="8">
        <v>442.0</v>
      </c>
      <c r="H446" s="388">
        <f t="shared" si="2"/>
        <v>1115.5</v>
      </c>
    </row>
    <row r="447" ht="15.75" customHeight="1">
      <c r="A447" s="388">
        <v>1116.0</v>
      </c>
      <c r="B447" s="389">
        <v>1.32151353925E7</v>
      </c>
      <c r="C447" s="389">
        <f t="shared" si="1"/>
        <v>15250135.39</v>
      </c>
      <c r="D447" s="389">
        <v>95858.7786507</v>
      </c>
      <c r="E447" s="8">
        <v>443.0</v>
      </c>
      <c r="H447" s="388">
        <f t="shared" si="2"/>
        <v>1116</v>
      </c>
    </row>
    <row r="448" ht="15.75" customHeight="1">
      <c r="A448" s="388">
        <v>1116.5</v>
      </c>
      <c r="B448" s="389">
        <v>1.32631138442E7</v>
      </c>
      <c r="C448" s="389">
        <f t="shared" si="1"/>
        <v>15298113.84</v>
      </c>
      <c r="D448" s="389">
        <v>96057.2714311</v>
      </c>
      <c r="E448" s="8">
        <v>444.0</v>
      </c>
      <c r="H448" s="388">
        <f t="shared" si="2"/>
        <v>1116.5</v>
      </c>
    </row>
    <row r="449" ht="15.75" customHeight="1">
      <c r="A449" s="388">
        <v>1117.0</v>
      </c>
      <c r="B449" s="389">
        <v>1.33111866718E7</v>
      </c>
      <c r="C449" s="389">
        <f t="shared" si="1"/>
        <v>15346186.67</v>
      </c>
      <c r="D449" s="389">
        <v>96253.025926</v>
      </c>
      <c r="E449" s="8">
        <v>445.0</v>
      </c>
      <c r="H449" s="388">
        <f t="shared" si="2"/>
        <v>1117</v>
      </c>
    </row>
    <row r="450" ht="15.75" customHeight="1">
      <c r="A450" s="388">
        <v>1117.5</v>
      </c>
      <c r="B450" s="389">
        <v>1.33593556301E7</v>
      </c>
      <c r="C450" s="389">
        <f t="shared" si="1"/>
        <v>15394355.63</v>
      </c>
      <c r="D450" s="389">
        <v>96415.2469369</v>
      </c>
      <c r="E450" s="8">
        <v>446.0</v>
      </c>
      <c r="H450" s="388">
        <f t="shared" si="2"/>
        <v>1117.5</v>
      </c>
    </row>
    <row r="451" ht="15.75" customHeight="1">
      <c r="A451" s="388">
        <v>1118.0</v>
      </c>
      <c r="B451" s="389">
        <v>1.34075942182E7</v>
      </c>
      <c r="C451" s="389">
        <f t="shared" si="1"/>
        <v>15442594.22</v>
      </c>
      <c r="D451" s="389">
        <v>96571.0502218</v>
      </c>
      <c r="E451" s="8">
        <v>447.0</v>
      </c>
      <c r="H451" s="388">
        <f t="shared" si="2"/>
        <v>1118</v>
      </c>
    </row>
    <row r="452" ht="15.75" customHeight="1">
      <c r="A452" s="388">
        <v>1118.5</v>
      </c>
      <c r="B452" s="389">
        <v>1.34559317601E7</v>
      </c>
      <c r="C452" s="389">
        <f t="shared" si="1"/>
        <v>15490931.76</v>
      </c>
      <c r="D452" s="389">
        <v>96749.2813836</v>
      </c>
      <c r="E452" s="8">
        <v>448.0</v>
      </c>
      <c r="H452" s="388">
        <f t="shared" si="2"/>
        <v>1118.5</v>
      </c>
    </row>
    <row r="453" ht="15.75" customHeight="1">
      <c r="A453" s="388">
        <v>1119.0</v>
      </c>
      <c r="B453" s="389">
        <v>1.35043472022E7</v>
      </c>
      <c r="C453" s="389">
        <f t="shared" si="1"/>
        <v>15539347.2</v>
      </c>
      <c r="D453" s="389">
        <v>96928.449283</v>
      </c>
      <c r="E453" s="8">
        <v>449.0</v>
      </c>
      <c r="H453" s="388">
        <f t="shared" si="2"/>
        <v>1119</v>
      </c>
    </row>
    <row r="454" ht="15.75" customHeight="1">
      <c r="A454" s="388">
        <v>1119.5</v>
      </c>
      <c r="B454" s="389">
        <v>1.35528520615E7</v>
      </c>
      <c r="C454" s="389">
        <f t="shared" si="1"/>
        <v>15587852.06</v>
      </c>
      <c r="D454" s="389">
        <v>97084.7645786</v>
      </c>
      <c r="E454" s="8">
        <v>450.0</v>
      </c>
      <c r="H454" s="388">
        <f t="shared" si="2"/>
        <v>1119.5</v>
      </c>
    </row>
    <row r="455" ht="15.75" customHeight="1">
      <c r="A455" s="388">
        <v>1120.0</v>
      </c>
      <c r="B455" s="389">
        <v>1.36014353455E7</v>
      </c>
      <c r="C455" s="389">
        <f t="shared" si="1"/>
        <v>15636435.35</v>
      </c>
      <c r="D455" s="389">
        <v>97261.2768082</v>
      </c>
      <c r="E455" s="8">
        <v>451.0</v>
      </c>
      <c r="H455" s="388">
        <f t="shared" si="2"/>
        <v>1120</v>
      </c>
    </row>
    <row r="456" ht="15.75" customHeight="1">
      <c r="A456" s="388">
        <v>1120.5</v>
      </c>
      <c r="B456" s="389">
        <v>1.36501075566E7</v>
      </c>
      <c r="C456" s="389">
        <f t="shared" si="1"/>
        <v>15685107.56</v>
      </c>
      <c r="D456" s="389">
        <v>97422.1149233</v>
      </c>
      <c r="E456" s="8">
        <v>452.0</v>
      </c>
      <c r="H456" s="388">
        <f t="shared" si="2"/>
        <v>1120.5</v>
      </c>
    </row>
    <row r="457" ht="15.75" customHeight="1">
      <c r="A457" s="388">
        <v>1121.0</v>
      </c>
      <c r="B457" s="389">
        <v>1.36988517561E7</v>
      </c>
      <c r="C457" s="389">
        <f t="shared" si="1"/>
        <v>15733851.76</v>
      </c>
      <c r="D457" s="389">
        <v>97588.7930891</v>
      </c>
      <c r="E457" s="8">
        <v>453.0</v>
      </c>
      <c r="H457" s="388">
        <f t="shared" si="2"/>
        <v>1121</v>
      </c>
    </row>
    <row r="458" ht="15.75" customHeight="1">
      <c r="A458" s="388">
        <v>1121.5</v>
      </c>
      <c r="B458" s="389">
        <v>1.37476988181E7</v>
      </c>
      <c r="C458" s="389">
        <f t="shared" si="1"/>
        <v>15782698.82</v>
      </c>
      <c r="D458" s="389">
        <v>97777.9728465</v>
      </c>
      <c r="E458" s="8">
        <v>454.0</v>
      </c>
      <c r="H458" s="388">
        <f t="shared" si="2"/>
        <v>1121.5</v>
      </c>
    </row>
    <row r="459" ht="15.75" customHeight="1">
      <c r="A459" s="388">
        <v>1122.0</v>
      </c>
      <c r="B459" s="389">
        <v>1.37966357687E7</v>
      </c>
      <c r="C459" s="389">
        <f t="shared" si="1"/>
        <v>15831635.77</v>
      </c>
      <c r="D459" s="389">
        <v>97983.2360393</v>
      </c>
      <c r="E459" s="8">
        <v>455.0</v>
      </c>
      <c r="H459" s="388">
        <f t="shared" si="2"/>
        <v>1122</v>
      </c>
    </row>
    <row r="460" ht="15.75" customHeight="1">
      <c r="A460" s="388">
        <v>1122.5</v>
      </c>
      <c r="B460" s="389">
        <v>1.38456760069E7</v>
      </c>
      <c r="C460" s="389">
        <f t="shared" si="1"/>
        <v>15880676.01</v>
      </c>
      <c r="D460" s="389">
        <v>98172.4088856</v>
      </c>
      <c r="E460" s="8">
        <v>456.0</v>
      </c>
      <c r="H460" s="388">
        <f t="shared" si="2"/>
        <v>1122.5</v>
      </c>
    </row>
    <row r="461" ht="15.75" customHeight="1">
      <c r="A461" s="388">
        <v>1123.0</v>
      </c>
      <c r="B461" s="389">
        <v>1.38948131592E7</v>
      </c>
      <c r="C461" s="389">
        <f t="shared" si="1"/>
        <v>15929813.16</v>
      </c>
      <c r="D461" s="389">
        <v>98389.2402955</v>
      </c>
      <c r="E461" s="8">
        <v>457.0</v>
      </c>
      <c r="H461" s="388">
        <f t="shared" si="2"/>
        <v>1123</v>
      </c>
    </row>
    <row r="462" ht="15.75" customHeight="1">
      <c r="A462" s="388">
        <v>1123.5</v>
      </c>
      <c r="B462" s="389">
        <v>1.39440596885E7</v>
      </c>
      <c r="C462" s="389">
        <f t="shared" si="1"/>
        <v>15979059.69</v>
      </c>
      <c r="D462" s="389">
        <v>98588.430029</v>
      </c>
      <c r="E462" s="8">
        <v>458.0</v>
      </c>
      <c r="H462" s="388">
        <f t="shared" si="2"/>
        <v>1123.5</v>
      </c>
    </row>
    <row r="463" ht="15.75" customHeight="1">
      <c r="A463" s="388">
        <v>1124.0</v>
      </c>
      <c r="B463" s="389">
        <v>1.39934044922E7</v>
      </c>
      <c r="C463" s="389">
        <f t="shared" si="1"/>
        <v>16028404.49</v>
      </c>
      <c r="D463" s="389">
        <v>98804.5320145</v>
      </c>
      <c r="E463" s="8">
        <v>459.0</v>
      </c>
      <c r="H463" s="388">
        <f t="shared" si="2"/>
        <v>1124</v>
      </c>
    </row>
    <row r="464" ht="15.75" customHeight="1">
      <c r="A464" s="388">
        <v>1124.5</v>
      </c>
      <c r="B464" s="389">
        <v>1.4042853475E7</v>
      </c>
      <c r="C464" s="389">
        <f t="shared" si="1"/>
        <v>16077853.48</v>
      </c>
      <c r="D464" s="389">
        <v>99042.7348263</v>
      </c>
      <c r="E464" s="8">
        <v>460.0</v>
      </c>
      <c r="H464" s="388">
        <f t="shared" si="2"/>
        <v>1124.5</v>
      </c>
    </row>
    <row r="465" ht="15.75" customHeight="1">
      <c r="A465" s="388">
        <v>1125.0</v>
      </c>
      <c r="B465" s="389">
        <v>1.40924292477E7</v>
      </c>
      <c r="C465" s="389">
        <f t="shared" si="1"/>
        <v>16127429.25</v>
      </c>
      <c r="D465" s="389">
        <v>99275.4136357</v>
      </c>
      <c r="E465" s="8">
        <v>461.0</v>
      </c>
      <c r="H465" s="388">
        <f t="shared" si="2"/>
        <v>1125</v>
      </c>
    </row>
    <row r="466" ht="15.75" customHeight="1">
      <c r="A466" s="388">
        <v>1125.5</v>
      </c>
      <c r="B466" s="389">
        <v>1.41421220084E7</v>
      </c>
      <c r="C466" s="389">
        <f t="shared" si="1"/>
        <v>16177122.01</v>
      </c>
      <c r="D466" s="389">
        <v>99488.6481617</v>
      </c>
      <c r="E466" s="8">
        <v>462.0</v>
      </c>
      <c r="H466" s="388">
        <f t="shared" si="2"/>
        <v>1125.5</v>
      </c>
    </row>
    <row r="467" ht="15.75" customHeight="1">
      <c r="A467" s="388">
        <v>1126.0</v>
      </c>
      <c r="B467" s="389">
        <v>1.41919205247E7</v>
      </c>
      <c r="C467" s="389">
        <f t="shared" si="1"/>
        <v>16226920.52</v>
      </c>
      <c r="D467" s="389">
        <v>99720.6606007</v>
      </c>
      <c r="E467" s="8">
        <v>463.0</v>
      </c>
      <c r="H467" s="388">
        <f t="shared" si="2"/>
        <v>1126</v>
      </c>
    </row>
    <row r="468" ht="15.75" customHeight="1">
      <c r="A468" s="388">
        <v>1126.5</v>
      </c>
      <c r="B468" s="389">
        <v>1.42418407448E7</v>
      </c>
      <c r="C468" s="389">
        <f t="shared" si="1"/>
        <v>16276840.74</v>
      </c>
      <c r="D468" s="389">
        <v>99967.9171264</v>
      </c>
      <c r="E468" s="8">
        <v>464.0</v>
      </c>
      <c r="H468" s="388">
        <f t="shared" si="2"/>
        <v>1126.5</v>
      </c>
    </row>
    <row r="469" ht="15.75" customHeight="1">
      <c r="A469" s="388">
        <v>1127.0</v>
      </c>
      <c r="B469" s="389">
        <v>1.42918764094E7</v>
      </c>
      <c r="C469" s="389">
        <f t="shared" si="1"/>
        <v>16326876.41</v>
      </c>
      <c r="D469" s="389">
        <v>100191.844647</v>
      </c>
      <c r="E469" s="8">
        <v>465.0</v>
      </c>
      <c r="H469" s="388">
        <f t="shared" si="2"/>
        <v>1127</v>
      </c>
    </row>
    <row r="470" ht="15.75" customHeight="1">
      <c r="A470" s="388">
        <v>1127.5</v>
      </c>
      <c r="B470" s="389">
        <v>1.4342013776E7</v>
      </c>
      <c r="C470" s="389">
        <f t="shared" si="1"/>
        <v>16377013.78</v>
      </c>
      <c r="D470" s="389">
        <v>100391.343458</v>
      </c>
      <c r="E470" s="8">
        <v>466.0</v>
      </c>
      <c r="H470" s="388">
        <f t="shared" si="2"/>
        <v>1127.5</v>
      </c>
    </row>
    <row r="471" ht="15.75" customHeight="1">
      <c r="A471" s="388">
        <v>1128.0</v>
      </c>
      <c r="B471" s="389">
        <v>1.43922608512E7</v>
      </c>
      <c r="C471" s="389">
        <f t="shared" si="1"/>
        <v>16427260.85</v>
      </c>
      <c r="D471" s="389">
        <v>100617.153401</v>
      </c>
      <c r="E471" s="8">
        <v>467.0</v>
      </c>
      <c r="H471" s="388">
        <f t="shared" si="2"/>
        <v>1128</v>
      </c>
    </row>
    <row r="472" ht="15.75" customHeight="1">
      <c r="A472" s="388">
        <v>1128.5</v>
      </c>
      <c r="B472" s="389">
        <v>1.44426235552E7</v>
      </c>
      <c r="C472" s="389">
        <f t="shared" si="1"/>
        <v>16477623.56</v>
      </c>
      <c r="D472" s="389">
        <v>100840.932058</v>
      </c>
      <c r="E472" s="8">
        <v>468.0</v>
      </c>
      <c r="H472" s="388">
        <f t="shared" si="2"/>
        <v>1128.5</v>
      </c>
    </row>
    <row r="473" ht="15.75" customHeight="1">
      <c r="A473" s="388">
        <v>1129.0</v>
      </c>
      <c r="B473" s="389">
        <v>1.44930952497E7</v>
      </c>
      <c r="C473" s="389">
        <f t="shared" si="1"/>
        <v>16528095.25</v>
      </c>
      <c r="D473" s="389">
        <v>101062.553629</v>
      </c>
      <c r="E473" s="8">
        <v>469.0</v>
      </c>
      <c r="H473" s="388">
        <f t="shared" si="2"/>
        <v>1129</v>
      </c>
    </row>
    <row r="474" ht="15.75" customHeight="1">
      <c r="A474" s="388">
        <v>1129.5</v>
      </c>
      <c r="B474" s="389">
        <v>1.45436760746E7</v>
      </c>
      <c r="C474" s="389">
        <f t="shared" si="1"/>
        <v>16578676.07</v>
      </c>
      <c r="D474" s="389">
        <v>101254.795739</v>
      </c>
      <c r="E474" s="8">
        <v>470.0</v>
      </c>
      <c r="H474" s="388">
        <f t="shared" si="2"/>
        <v>1129.5</v>
      </c>
    </row>
    <row r="475" ht="15.75" customHeight="1">
      <c r="A475" s="388">
        <v>1130.0</v>
      </c>
      <c r="B475" s="389">
        <v>1.45943535141E7</v>
      </c>
      <c r="C475" s="389">
        <f t="shared" si="1"/>
        <v>16629353.51</v>
      </c>
      <c r="D475" s="389">
        <v>101477.267989</v>
      </c>
      <c r="E475" s="8">
        <v>471.0</v>
      </c>
      <c r="H475" s="388">
        <f t="shared" si="2"/>
        <v>1130</v>
      </c>
    </row>
    <row r="476" ht="15.75" customHeight="1">
      <c r="A476" s="388">
        <v>1130.5</v>
      </c>
      <c r="B476" s="389">
        <v>1.46451372698E7</v>
      </c>
      <c r="C476" s="389">
        <f t="shared" si="1"/>
        <v>16680137.27</v>
      </c>
      <c r="D476" s="389">
        <v>101703.973143</v>
      </c>
      <c r="E476" s="8">
        <v>472.0</v>
      </c>
      <c r="H476" s="388">
        <f t="shared" si="2"/>
        <v>1130.5</v>
      </c>
    </row>
    <row r="477" ht="15.75" customHeight="1">
      <c r="A477" s="388">
        <v>1131.0</v>
      </c>
      <c r="B477" s="389">
        <v>1.4696039588E7</v>
      </c>
      <c r="C477" s="389">
        <f t="shared" si="1"/>
        <v>16731039.59</v>
      </c>
      <c r="D477" s="389">
        <v>101926.941828</v>
      </c>
      <c r="E477" s="8">
        <v>473.0</v>
      </c>
      <c r="H477" s="388">
        <f t="shared" si="2"/>
        <v>1131</v>
      </c>
    </row>
    <row r="478" ht="15.75" customHeight="1">
      <c r="A478" s="388">
        <v>1131.5</v>
      </c>
      <c r="B478" s="389">
        <v>1.47470531205E7</v>
      </c>
      <c r="C478" s="389">
        <f t="shared" si="1"/>
        <v>16782053.12</v>
      </c>
      <c r="D478" s="389">
        <v>102120.593042</v>
      </c>
      <c r="E478" s="8">
        <v>474.0</v>
      </c>
      <c r="H478" s="388">
        <f t="shared" si="2"/>
        <v>1131.5</v>
      </c>
    </row>
    <row r="479" ht="15.75" customHeight="1">
      <c r="A479" s="388">
        <v>1132.0</v>
      </c>
      <c r="B479" s="389">
        <v>1.47981632633E7</v>
      </c>
      <c r="C479" s="389">
        <f t="shared" si="1"/>
        <v>16833163.26</v>
      </c>
      <c r="D479" s="389">
        <v>102349.993333</v>
      </c>
      <c r="E479" s="8">
        <v>475.0</v>
      </c>
      <c r="H479" s="388">
        <f t="shared" si="2"/>
        <v>1132</v>
      </c>
    </row>
    <row r="480" ht="15.75" customHeight="1">
      <c r="A480" s="388">
        <v>1132.5</v>
      </c>
      <c r="B480" s="389">
        <v>1.48493884966E7</v>
      </c>
      <c r="C480" s="389">
        <f t="shared" si="1"/>
        <v>16884388.5</v>
      </c>
      <c r="D480" s="389">
        <v>102544.430029</v>
      </c>
      <c r="E480" s="8">
        <v>476.0</v>
      </c>
      <c r="H480" s="388">
        <f t="shared" si="2"/>
        <v>1132.5</v>
      </c>
    </row>
    <row r="481" ht="15.75" customHeight="1">
      <c r="A481" s="388">
        <v>1133.0</v>
      </c>
      <c r="B481" s="389">
        <v>1.49007110277E7</v>
      </c>
      <c r="C481" s="389">
        <f t="shared" si="1"/>
        <v>16935711.03</v>
      </c>
      <c r="D481" s="389">
        <v>102784.161176</v>
      </c>
      <c r="E481" s="8">
        <v>477.0</v>
      </c>
      <c r="H481" s="388">
        <f t="shared" si="2"/>
        <v>1133</v>
      </c>
    </row>
    <row r="482" ht="15.75" customHeight="1">
      <c r="A482" s="388">
        <v>1133.5</v>
      </c>
      <c r="B482" s="389">
        <v>1.49521545607E7</v>
      </c>
      <c r="C482" s="389">
        <f t="shared" si="1"/>
        <v>16987154.56</v>
      </c>
      <c r="D482" s="389">
        <v>102983.935735</v>
      </c>
      <c r="E482" s="8">
        <v>478.0</v>
      </c>
      <c r="H482" s="388">
        <f t="shared" si="2"/>
        <v>1133.5</v>
      </c>
    </row>
    <row r="483" ht="15.75" customHeight="1">
      <c r="A483" s="388">
        <v>1134.0</v>
      </c>
      <c r="B483" s="389">
        <v>1.50036887923E7</v>
      </c>
      <c r="C483" s="389">
        <f t="shared" si="1"/>
        <v>17038688.79</v>
      </c>
      <c r="D483" s="389">
        <v>103188.82688</v>
      </c>
      <c r="E483" s="8">
        <v>479.0</v>
      </c>
      <c r="H483" s="388">
        <f t="shared" si="2"/>
        <v>1134</v>
      </c>
    </row>
    <row r="484" ht="15.75" customHeight="1">
      <c r="A484" s="388">
        <v>1134.5</v>
      </c>
      <c r="B484" s="389">
        <v>1.50553513295E7</v>
      </c>
      <c r="C484" s="389">
        <f t="shared" si="1"/>
        <v>17090351.33</v>
      </c>
      <c r="D484" s="389">
        <v>103426.221726</v>
      </c>
      <c r="E484" s="8">
        <v>480.0</v>
      </c>
      <c r="H484" s="388">
        <f t="shared" si="2"/>
        <v>1134.5</v>
      </c>
    </row>
    <row r="485" ht="15.75" customHeight="1">
      <c r="A485" s="388">
        <v>1135.0</v>
      </c>
      <c r="B485" s="389">
        <v>1.51071189739E7</v>
      </c>
      <c r="C485" s="389">
        <f t="shared" si="1"/>
        <v>17142118.97</v>
      </c>
      <c r="D485" s="389">
        <v>103670.290905</v>
      </c>
      <c r="E485" s="8">
        <v>481.0</v>
      </c>
      <c r="H485" s="388">
        <f t="shared" si="2"/>
        <v>1135</v>
      </c>
    </row>
    <row r="486" ht="15.75" customHeight="1">
      <c r="A486" s="388">
        <v>1135.5</v>
      </c>
      <c r="B486" s="389">
        <v>1.51590129738E7</v>
      </c>
      <c r="C486" s="389">
        <f t="shared" si="1"/>
        <v>17194012.97</v>
      </c>
      <c r="D486" s="389">
        <v>104284.726338</v>
      </c>
      <c r="E486" s="8">
        <v>482.0</v>
      </c>
      <c r="H486" s="388">
        <f t="shared" si="2"/>
        <v>1135.5</v>
      </c>
    </row>
    <row r="487" ht="15.75" customHeight="1">
      <c r="A487" s="388">
        <v>1136.0</v>
      </c>
      <c r="B487" s="389">
        <v>1.52113155726E7</v>
      </c>
      <c r="C487" s="389">
        <f t="shared" si="1"/>
        <v>17246315.57</v>
      </c>
      <c r="D487" s="389">
        <v>104815.910237</v>
      </c>
      <c r="E487" s="8">
        <v>483.0</v>
      </c>
      <c r="H487" s="388">
        <f t="shared" si="2"/>
        <v>1136</v>
      </c>
    </row>
    <row r="488" ht="15.75" customHeight="1">
      <c r="A488" s="388">
        <v>1136.5</v>
      </c>
      <c r="B488" s="389">
        <v>1.52638175683E7</v>
      </c>
      <c r="C488" s="389">
        <f t="shared" si="1"/>
        <v>17298817.57</v>
      </c>
      <c r="D488" s="389">
        <v>105182.988367</v>
      </c>
      <c r="E488" s="8">
        <v>484.0</v>
      </c>
      <c r="H488" s="388">
        <f t="shared" si="2"/>
        <v>1136.5</v>
      </c>
    </row>
    <row r="489" ht="15.75" customHeight="1">
      <c r="A489" s="388">
        <v>1137.0</v>
      </c>
      <c r="B489" s="389">
        <v>1.53164712952E7</v>
      </c>
      <c r="C489" s="389">
        <f t="shared" si="1"/>
        <v>17351471.3</v>
      </c>
      <c r="D489" s="389">
        <v>105460.398235</v>
      </c>
      <c r="E489" s="8">
        <v>485.0</v>
      </c>
      <c r="H489" s="388">
        <f t="shared" si="2"/>
        <v>1137</v>
      </c>
    </row>
    <row r="490" ht="15.75" customHeight="1">
      <c r="A490" s="388">
        <v>1137.5</v>
      </c>
      <c r="B490" s="389">
        <v>1.53692882865E7</v>
      </c>
      <c r="C490" s="389">
        <f t="shared" si="1"/>
        <v>17404288.29</v>
      </c>
      <c r="D490" s="389">
        <v>105757.998597</v>
      </c>
      <c r="E490" s="8">
        <v>486.0</v>
      </c>
      <c r="H490" s="388">
        <f t="shared" si="2"/>
        <v>1137.5</v>
      </c>
    </row>
    <row r="491" ht="15.75" customHeight="1">
      <c r="A491" s="388">
        <v>1138.0</v>
      </c>
      <c r="B491" s="389">
        <v>1.5422233171E7</v>
      </c>
      <c r="C491" s="389">
        <f t="shared" si="1"/>
        <v>17457233.17</v>
      </c>
      <c r="D491" s="389">
        <v>106073.211346</v>
      </c>
      <c r="E491" s="8">
        <v>487.0</v>
      </c>
      <c r="H491" s="388">
        <f t="shared" si="2"/>
        <v>1138</v>
      </c>
    </row>
    <row r="492" ht="15.75" customHeight="1">
      <c r="A492" s="388">
        <v>1138.5</v>
      </c>
      <c r="B492" s="389">
        <v>1.54753380991E7</v>
      </c>
      <c r="C492" s="389">
        <f t="shared" si="1"/>
        <v>17510338.1</v>
      </c>
      <c r="D492" s="389">
        <v>106345.387856</v>
      </c>
      <c r="E492" s="8">
        <v>488.0</v>
      </c>
      <c r="H492" s="388">
        <f t="shared" si="2"/>
        <v>1138.5</v>
      </c>
    </row>
    <row r="493" ht="15.75" customHeight="1">
      <c r="A493" s="388">
        <v>1139.0</v>
      </c>
      <c r="B493" s="389">
        <v>1.55285744049E7</v>
      </c>
      <c r="C493" s="389">
        <f t="shared" si="1"/>
        <v>17563574.4</v>
      </c>
      <c r="D493" s="389">
        <v>106649.22394</v>
      </c>
      <c r="E493" s="8">
        <v>489.0</v>
      </c>
      <c r="H493" s="388">
        <f t="shared" si="2"/>
        <v>1139</v>
      </c>
    </row>
    <row r="494" ht="15.75" customHeight="1">
      <c r="A494" s="388">
        <v>1139.5</v>
      </c>
      <c r="B494" s="389">
        <v>1.55819582837E7</v>
      </c>
      <c r="C494" s="389">
        <f t="shared" si="1"/>
        <v>17616958.28</v>
      </c>
      <c r="D494" s="389">
        <v>106878.598919</v>
      </c>
      <c r="E494" s="8">
        <v>490.0</v>
      </c>
      <c r="H494" s="388">
        <f t="shared" si="2"/>
        <v>1139.5</v>
      </c>
    </row>
    <row r="495" ht="15.75" customHeight="1">
      <c r="A495" s="388">
        <v>1140.0</v>
      </c>
      <c r="B495" s="389">
        <v>1.56354493987E7</v>
      </c>
      <c r="C495" s="389">
        <f t="shared" si="1"/>
        <v>17670449.4</v>
      </c>
      <c r="D495" s="389">
        <v>107119.538279</v>
      </c>
      <c r="E495" s="8">
        <v>491.0</v>
      </c>
      <c r="H495" s="388">
        <f t="shared" si="2"/>
        <v>1140</v>
      </c>
    </row>
    <row r="496" ht="15.75" customHeight="1">
      <c r="A496" s="388">
        <v>1140.5</v>
      </c>
      <c r="B496" s="389">
        <v>1.5689102627E7</v>
      </c>
      <c r="C496" s="389">
        <f t="shared" si="1"/>
        <v>17724102.63</v>
      </c>
      <c r="D496" s="389">
        <v>107440.358998</v>
      </c>
      <c r="E496" s="8">
        <v>492.0</v>
      </c>
      <c r="H496" s="388">
        <f t="shared" si="2"/>
        <v>1140.5</v>
      </c>
    </row>
    <row r="497" ht="15.75" customHeight="1">
      <c r="A497" s="388">
        <v>1141.0</v>
      </c>
      <c r="B497" s="389">
        <v>1.57428793814E7</v>
      </c>
      <c r="C497" s="389">
        <f t="shared" si="1"/>
        <v>17777879.38</v>
      </c>
      <c r="D497" s="389">
        <v>107706.705134</v>
      </c>
      <c r="E497" s="8">
        <v>493.0</v>
      </c>
      <c r="H497" s="388">
        <f t="shared" si="2"/>
        <v>1141</v>
      </c>
    </row>
    <row r="498" ht="15.75" customHeight="1">
      <c r="A498" s="388">
        <v>1141.5</v>
      </c>
      <c r="B498" s="389">
        <v>1.57967886397E7</v>
      </c>
      <c r="C498" s="389">
        <f t="shared" si="1"/>
        <v>17831788.64</v>
      </c>
      <c r="D498" s="389">
        <v>107924.46806</v>
      </c>
      <c r="E498" s="8">
        <v>494.0</v>
      </c>
      <c r="H498" s="388">
        <f t="shared" si="2"/>
        <v>1141.5</v>
      </c>
    </row>
    <row r="499" ht="15.75" customHeight="1">
      <c r="A499" s="388">
        <v>1142.0</v>
      </c>
      <c r="B499" s="389">
        <v>1.58508078604E7</v>
      </c>
      <c r="C499" s="389">
        <f t="shared" si="1"/>
        <v>17885807.86</v>
      </c>
      <c r="D499" s="389">
        <v>108202.970678</v>
      </c>
      <c r="E499" s="8">
        <v>495.0</v>
      </c>
      <c r="H499" s="388">
        <f t="shared" si="2"/>
        <v>1142</v>
      </c>
    </row>
    <row r="500" ht="15.75" customHeight="1">
      <c r="A500" s="388">
        <v>1142.5</v>
      </c>
      <c r="B500" s="389">
        <v>1.59049694008E7</v>
      </c>
      <c r="C500" s="389">
        <f t="shared" si="1"/>
        <v>17939969.4</v>
      </c>
      <c r="D500" s="389">
        <v>108439.693394</v>
      </c>
      <c r="E500" s="8">
        <v>496.0</v>
      </c>
      <c r="H500" s="388">
        <f t="shared" si="2"/>
        <v>1142.5</v>
      </c>
    </row>
    <row r="501" ht="15.75" customHeight="1">
      <c r="A501" s="388">
        <v>1143.0</v>
      </c>
      <c r="B501" s="389">
        <v>1.59592458692E7</v>
      </c>
      <c r="C501" s="389">
        <f t="shared" si="1"/>
        <v>17994245.87</v>
      </c>
      <c r="D501" s="389">
        <v>108713.037038</v>
      </c>
      <c r="E501" s="8">
        <v>497.0</v>
      </c>
      <c r="H501" s="388">
        <f t="shared" si="2"/>
        <v>1143</v>
      </c>
    </row>
    <row r="502" ht="15.75" customHeight="1">
      <c r="A502" s="388">
        <v>1143.5</v>
      </c>
      <c r="B502" s="389">
        <v>1.60136455873E7</v>
      </c>
      <c r="C502" s="389">
        <f t="shared" si="1"/>
        <v>18048645.59</v>
      </c>
      <c r="D502" s="389">
        <v>108922.239126</v>
      </c>
      <c r="E502" s="8">
        <v>498.0</v>
      </c>
      <c r="H502" s="388">
        <f t="shared" si="2"/>
        <v>1143.5</v>
      </c>
    </row>
    <row r="503" ht="15.75" customHeight="1">
      <c r="A503" s="388">
        <v>1144.0</v>
      </c>
      <c r="B503" s="389">
        <v>1.60681614319E7</v>
      </c>
      <c r="C503" s="389">
        <f t="shared" si="1"/>
        <v>18103161.43</v>
      </c>
      <c r="D503" s="389">
        <v>109197.800411</v>
      </c>
      <c r="E503" s="8">
        <v>499.0</v>
      </c>
      <c r="H503" s="388">
        <f t="shared" si="2"/>
        <v>1144</v>
      </c>
    </row>
    <row r="504" ht="15.75" customHeight="1">
      <c r="A504" s="388">
        <v>1144.5</v>
      </c>
      <c r="B504" s="389">
        <v>1.61228220083E7</v>
      </c>
      <c r="C504" s="389">
        <f t="shared" si="1"/>
        <v>18157822.01</v>
      </c>
      <c r="D504" s="389">
        <v>109439.029502</v>
      </c>
      <c r="E504" s="8">
        <v>500.0</v>
      </c>
      <c r="H504" s="388">
        <f t="shared" si="2"/>
        <v>1144.5</v>
      </c>
    </row>
    <row r="505" ht="15.75" customHeight="1">
      <c r="A505" s="388">
        <v>1145.0</v>
      </c>
      <c r="B505" s="389">
        <v>1.61776008697E7</v>
      </c>
      <c r="C505" s="389">
        <f t="shared" si="1"/>
        <v>18212600.87</v>
      </c>
      <c r="D505" s="389">
        <v>109719.218455</v>
      </c>
      <c r="E505" s="8">
        <v>501.0</v>
      </c>
      <c r="H505" s="388">
        <f t="shared" si="2"/>
        <v>1145</v>
      </c>
    </row>
    <row r="506" ht="15.75" customHeight="1">
      <c r="A506" s="388">
        <v>1145.5</v>
      </c>
      <c r="B506" s="389">
        <v>1.62325205802E7</v>
      </c>
      <c r="C506" s="389">
        <f t="shared" si="1"/>
        <v>18267520.58</v>
      </c>
      <c r="D506" s="389">
        <v>109952.862981</v>
      </c>
      <c r="E506" s="8">
        <v>502.0</v>
      </c>
      <c r="H506" s="388">
        <f t="shared" si="2"/>
        <v>1145.5</v>
      </c>
    </row>
    <row r="507" ht="15.75" customHeight="1">
      <c r="A507" s="388">
        <v>1146.0</v>
      </c>
      <c r="B507" s="389">
        <v>1.628755766E7</v>
      </c>
      <c r="C507" s="389">
        <f t="shared" si="1"/>
        <v>18322557.66</v>
      </c>
      <c r="D507" s="389">
        <v>110242.033605</v>
      </c>
      <c r="E507" s="8">
        <v>503.0</v>
      </c>
      <c r="H507" s="388">
        <f t="shared" si="2"/>
        <v>1146</v>
      </c>
    </row>
    <row r="508" ht="15.75" customHeight="1">
      <c r="A508" s="388">
        <v>1146.5</v>
      </c>
      <c r="B508" s="389">
        <v>1.63427361664E7</v>
      </c>
      <c r="C508" s="389">
        <f t="shared" si="1"/>
        <v>18377736.17</v>
      </c>
      <c r="D508" s="389">
        <v>110505.880967</v>
      </c>
      <c r="E508" s="8">
        <v>504.0</v>
      </c>
      <c r="H508" s="388">
        <f t="shared" si="2"/>
        <v>1146.5</v>
      </c>
    </row>
    <row r="509" ht="15.75" customHeight="1">
      <c r="A509" s="388">
        <v>1147.0</v>
      </c>
      <c r="B509" s="389">
        <v>1.63980502093E7</v>
      </c>
      <c r="C509" s="389">
        <f t="shared" si="1"/>
        <v>18433050.21</v>
      </c>
      <c r="D509" s="389">
        <v>110789.935828</v>
      </c>
      <c r="E509" s="8">
        <v>505.0</v>
      </c>
      <c r="H509" s="388">
        <f t="shared" si="2"/>
        <v>1147</v>
      </c>
    </row>
    <row r="510" ht="15.75" customHeight="1">
      <c r="A510" s="388">
        <v>1147.5</v>
      </c>
      <c r="B510" s="389">
        <v>1.64535054476E7</v>
      </c>
      <c r="C510" s="389">
        <f t="shared" si="1"/>
        <v>18488505.45</v>
      </c>
      <c r="D510" s="389">
        <v>111023.090087</v>
      </c>
      <c r="E510" s="8">
        <v>506.0</v>
      </c>
      <c r="H510" s="388">
        <f t="shared" si="2"/>
        <v>1147.5</v>
      </c>
    </row>
    <row r="511" ht="15.75" customHeight="1">
      <c r="A511" s="388">
        <v>1148.0</v>
      </c>
      <c r="B511" s="389">
        <v>1.65090772315E7</v>
      </c>
      <c r="C511" s="389">
        <f t="shared" si="1"/>
        <v>18544077.23</v>
      </c>
      <c r="D511" s="389">
        <v>111305.982014</v>
      </c>
      <c r="E511" s="8">
        <v>507.0</v>
      </c>
      <c r="H511" s="388">
        <f t="shared" si="2"/>
        <v>1148</v>
      </c>
    </row>
    <row r="512" ht="15.75" customHeight="1">
      <c r="A512" s="388">
        <v>1148.5</v>
      </c>
      <c r="B512" s="389">
        <v>1.6564795916E7</v>
      </c>
      <c r="C512" s="389">
        <f t="shared" si="1"/>
        <v>18599795.92</v>
      </c>
      <c r="D512" s="389">
        <v>111557.380729</v>
      </c>
      <c r="E512" s="8">
        <v>508.0</v>
      </c>
      <c r="H512" s="388">
        <f t="shared" si="2"/>
        <v>1148.5</v>
      </c>
    </row>
    <row r="513" ht="15.75" customHeight="1">
      <c r="A513" s="388">
        <v>1149.0</v>
      </c>
      <c r="B513" s="389">
        <v>1.66206349511E7</v>
      </c>
      <c r="C513" s="389">
        <f t="shared" si="1"/>
        <v>18655634.95</v>
      </c>
      <c r="D513" s="389">
        <v>111838.762519</v>
      </c>
      <c r="E513" s="8">
        <v>509.0</v>
      </c>
      <c r="H513" s="388">
        <f t="shared" si="2"/>
        <v>1149</v>
      </c>
    </row>
    <row r="514" ht="15.75" customHeight="1">
      <c r="A514" s="388">
        <v>1149.5</v>
      </c>
      <c r="B514" s="389">
        <v>1.66766155473E7</v>
      </c>
      <c r="C514" s="389">
        <f t="shared" si="1"/>
        <v>18711615.55</v>
      </c>
      <c r="D514" s="389">
        <v>112076.574224</v>
      </c>
      <c r="E514" s="8">
        <v>510.0</v>
      </c>
      <c r="H514" s="388">
        <f t="shared" si="2"/>
        <v>1149.5</v>
      </c>
    </row>
    <row r="515" ht="15.75" customHeight="1">
      <c r="A515" s="388">
        <v>1150.0</v>
      </c>
      <c r="B515" s="389">
        <v>1.67327051879E7</v>
      </c>
      <c r="C515" s="389">
        <f t="shared" si="1"/>
        <v>18767705.19</v>
      </c>
      <c r="D515" s="389">
        <v>112323.061057</v>
      </c>
      <c r="E515" s="8">
        <v>511.0</v>
      </c>
      <c r="H515" s="388">
        <f t="shared" si="2"/>
        <v>1150</v>
      </c>
    </row>
    <row r="516" ht="15.75" customHeight="1">
      <c r="A516" s="388">
        <v>1150.5</v>
      </c>
      <c r="B516" s="389">
        <v>1.67889543371E7</v>
      </c>
      <c r="C516" s="389">
        <f t="shared" si="1"/>
        <v>18823954.34</v>
      </c>
      <c r="D516" s="389">
        <v>112626.388706</v>
      </c>
      <c r="E516" s="8">
        <v>512.0</v>
      </c>
      <c r="H516" s="388">
        <f t="shared" si="2"/>
        <v>1150.5</v>
      </c>
    </row>
    <row r="517" ht="15.75" customHeight="1">
      <c r="A517" s="388">
        <v>1151.0</v>
      </c>
      <c r="B517" s="389">
        <v>1.68453318909E7</v>
      </c>
      <c r="C517" s="389">
        <f t="shared" si="1"/>
        <v>18880331.89</v>
      </c>
      <c r="D517" s="389">
        <v>112916.817767</v>
      </c>
      <c r="E517" s="8">
        <v>513.0</v>
      </c>
      <c r="H517" s="388">
        <f t="shared" si="2"/>
        <v>1151</v>
      </c>
    </row>
    <row r="518" ht="15.75" customHeight="1">
      <c r="A518" s="388">
        <v>1151.5</v>
      </c>
      <c r="B518" s="389">
        <v>1.6901855936E7</v>
      </c>
      <c r="C518" s="389">
        <f t="shared" si="1"/>
        <v>18936855.94</v>
      </c>
      <c r="D518" s="389">
        <v>113194.370027</v>
      </c>
      <c r="E518" s="8">
        <v>514.0</v>
      </c>
      <c r="H518" s="388">
        <f t="shared" si="2"/>
        <v>1151.5</v>
      </c>
    </row>
    <row r="519" ht="15.75" customHeight="1">
      <c r="A519" s="388">
        <v>1152.0</v>
      </c>
      <c r="B519" s="389">
        <v>1.6958547835E7</v>
      </c>
      <c r="C519" s="389">
        <f t="shared" si="1"/>
        <v>18993547.84</v>
      </c>
      <c r="D519" s="389">
        <v>113557.451682</v>
      </c>
      <c r="E519" s="8">
        <v>515.0</v>
      </c>
      <c r="H519" s="388">
        <f t="shared" si="2"/>
        <v>1152</v>
      </c>
    </row>
    <row r="520" ht="15.75" customHeight="1">
      <c r="A520" s="388">
        <v>1152.5</v>
      </c>
      <c r="B520" s="389">
        <v>1.70153947454E7</v>
      </c>
      <c r="C520" s="389">
        <f t="shared" si="1"/>
        <v>19050394.75</v>
      </c>
      <c r="D520" s="389">
        <v>113820.319356</v>
      </c>
      <c r="E520" s="8">
        <v>516.0</v>
      </c>
      <c r="H520" s="388">
        <f t="shared" si="2"/>
        <v>1152.5</v>
      </c>
    </row>
    <row r="521" ht="15.75" customHeight="1">
      <c r="A521" s="388">
        <v>1153.0</v>
      </c>
      <c r="B521" s="389">
        <v>1.70723584132E7</v>
      </c>
      <c r="C521" s="389">
        <f t="shared" si="1"/>
        <v>19107358.41</v>
      </c>
      <c r="D521" s="389">
        <v>114072.098205</v>
      </c>
      <c r="E521" s="8">
        <v>517.0</v>
      </c>
      <c r="H521" s="388">
        <f t="shared" si="2"/>
        <v>1153</v>
      </c>
    </row>
    <row r="522" ht="15.75" customHeight="1">
      <c r="A522" s="388">
        <v>1153.5</v>
      </c>
      <c r="B522" s="389">
        <v>1.71294727417E7</v>
      </c>
      <c r="C522" s="389">
        <f t="shared" si="1"/>
        <v>19164472.74</v>
      </c>
      <c r="D522" s="389">
        <v>114344.890469</v>
      </c>
      <c r="E522" s="8">
        <v>518.0</v>
      </c>
      <c r="H522" s="388">
        <f t="shared" si="2"/>
        <v>1153.5</v>
      </c>
    </row>
    <row r="523" ht="15.75" customHeight="1">
      <c r="A523" s="388">
        <v>1154.0</v>
      </c>
      <c r="B523" s="389">
        <v>1.71867065317E7</v>
      </c>
      <c r="C523" s="389">
        <f t="shared" si="1"/>
        <v>19221706.53</v>
      </c>
      <c r="D523" s="389">
        <v>114616.375278</v>
      </c>
      <c r="E523" s="8">
        <v>519.0</v>
      </c>
      <c r="H523" s="388">
        <f t="shared" si="2"/>
        <v>1154</v>
      </c>
    </row>
    <row r="524" ht="15.75" customHeight="1">
      <c r="A524" s="388">
        <v>1154.5</v>
      </c>
      <c r="B524" s="389">
        <v>1.72440788737E7</v>
      </c>
      <c r="C524" s="389">
        <f t="shared" si="1"/>
        <v>19279078.87</v>
      </c>
      <c r="D524" s="389">
        <v>114873.169855</v>
      </c>
      <c r="E524" s="8">
        <v>520.0</v>
      </c>
      <c r="H524" s="388">
        <f t="shared" si="2"/>
        <v>1154.5</v>
      </c>
    </row>
    <row r="525" ht="15.75" customHeight="1">
      <c r="A525" s="388">
        <v>1155.0</v>
      </c>
      <c r="B525" s="389">
        <v>1.73015816011E7</v>
      </c>
      <c r="C525" s="389">
        <f t="shared" si="1"/>
        <v>19336581.6</v>
      </c>
      <c r="D525" s="389">
        <v>115153.162317</v>
      </c>
      <c r="E525" s="8">
        <v>521.0</v>
      </c>
      <c r="H525" s="388">
        <f t="shared" si="2"/>
        <v>1155</v>
      </c>
    </row>
    <row r="526" ht="15.75" customHeight="1">
      <c r="A526" s="388">
        <v>1155.5</v>
      </c>
      <c r="B526" s="389">
        <v>1.73592186715E7</v>
      </c>
      <c r="C526" s="389">
        <f t="shared" si="1"/>
        <v>19394218.67</v>
      </c>
      <c r="D526" s="389">
        <v>115387.190214</v>
      </c>
      <c r="E526" s="8">
        <v>522.0</v>
      </c>
      <c r="H526" s="388">
        <f t="shared" si="2"/>
        <v>1155.5</v>
      </c>
    </row>
    <row r="527" ht="15.75" customHeight="1">
      <c r="A527" s="388">
        <v>1156.0</v>
      </c>
      <c r="B527" s="389">
        <v>1.74169614004E7</v>
      </c>
      <c r="C527" s="389">
        <f t="shared" si="1"/>
        <v>19451961.4</v>
      </c>
      <c r="D527" s="389">
        <v>115624.363371</v>
      </c>
      <c r="E527" s="8">
        <v>523.0</v>
      </c>
      <c r="H527" s="388">
        <f t="shared" si="2"/>
        <v>1156</v>
      </c>
    </row>
    <row r="528" ht="15.75" customHeight="1">
      <c r="A528" s="388">
        <v>1156.5</v>
      </c>
      <c r="B528" s="389">
        <v>1.74748580936E7</v>
      </c>
      <c r="C528" s="389">
        <f t="shared" si="1"/>
        <v>19509858.09</v>
      </c>
      <c r="D528" s="389">
        <v>115912.138903</v>
      </c>
      <c r="E528" s="8">
        <v>524.0</v>
      </c>
      <c r="H528" s="388">
        <f t="shared" si="2"/>
        <v>1156.5</v>
      </c>
    </row>
    <row r="529" ht="15.75" customHeight="1">
      <c r="A529" s="388">
        <v>1157.0</v>
      </c>
      <c r="B529" s="389">
        <v>1.75328769881E7</v>
      </c>
      <c r="C529" s="389">
        <f t="shared" si="1"/>
        <v>19567876.99</v>
      </c>
      <c r="D529" s="389">
        <v>116204.792031</v>
      </c>
      <c r="E529" s="8">
        <v>525.0</v>
      </c>
      <c r="H529" s="388">
        <f t="shared" si="2"/>
        <v>1157</v>
      </c>
    </row>
    <row r="530" ht="15.75" customHeight="1">
      <c r="A530" s="388">
        <v>1157.5</v>
      </c>
      <c r="B530" s="389">
        <v>1.75910450541E7</v>
      </c>
      <c r="C530" s="389">
        <f t="shared" si="1"/>
        <v>19626045.05</v>
      </c>
      <c r="D530" s="389">
        <v>116466.084698</v>
      </c>
      <c r="E530" s="8">
        <v>526.0</v>
      </c>
      <c r="H530" s="388">
        <f t="shared" si="2"/>
        <v>1157.5</v>
      </c>
    </row>
    <row r="531" ht="15.75" customHeight="1">
      <c r="A531" s="388">
        <v>1158.0</v>
      </c>
      <c r="B531" s="389">
        <v>1.7649368799E7</v>
      </c>
      <c r="C531" s="389">
        <f t="shared" si="1"/>
        <v>19684368.8</v>
      </c>
      <c r="D531" s="389">
        <v>116849.036052</v>
      </c>
      <c r="E531" s="8">
        <v>527.0</v>
      </c>
      <c r="H531" s="388">
        <f t="shared" si="2"/>
        <v>1158</v>
      </c>
    </row>
    <row r="532" ht="15.75" customHeight="1">
      <c r="A532" s="388">
        <v>1158.5</v>
      </c>
      <c r="B532" s="389">
        <v>1.77078597737E7</v>
      </c>
      <c r="C532" s="389">
        <f t="shared" si="1"/>
        <v>19742859.77</v>
      </c>
      <c r="D532" s="389">
        <v>117105.458411</v>
      </c>
      <c r="E532" s="8">
        <v>528.0</v>
      </c>
      <c r="H532" s="388">
        <f t="shared" si="2"/>
        <v>1158.5</v>
      </c>
    </row>
    <row r="533" ht="15.75" customHeight="1">
      <c r="A533" s="388">
        <v>1159.0</v>
      </c>
      <c r="B533" s="389">
        <v>1.77664783155E7</v>
      </c>
      <c r="C533" s="389">
        <f t="shared" si="1"/>
        <v>19801478.32</v>
      </c>
      <c r="D533" s="389">
        <v>117410.218382</v>
      </c>
      <c r="E533" s="8">
        <v>529.0</v>
      </c>
      <c r="H533" s="388">
        <f t="shared" si="2"/>
        <v>1159</v>
      </c>
    </row>
    <row r="534" ht="15.75" customHeight="1">
      <c r="A534" s="388">
        <v>1159.5</v>
      </c>
      <c r="B534" s="389">
        <v>1.78252428877E7</v>
      </c>
      <c r="C534" s="389">
        <f t="shared" si="1"/>
        <v>19860242.89</v>
      </c>
      <c r="D534" s="389">
        <v>117683.370183</v>
      </c>
      <c r="E534" s="8">
        <v>530.0</v>
      </c>
      <c r="H534" s="388">
        <f t="shared" si="2"/>
        <v>1159.5</v>
      </c>
    </row>
    <row r="535" ht="15.75" customHeight="1">
      <c r="A535" s="388">
        <v>1160.0</v>
      </c>
      <c r="B535" s="389">
        <v>1.78841541295E7</v>
      </c>
      <c r="C535" s="389">
        <f t="shared" si="1"/>
        <v>19919154.13</v>
      </c>
      <c r="D535" s="389">
        <v>117993.74399</v>
      </c>
      <c r="E535" s="8">
        <v>531.0</v>
      </c>
      <c r="H535" s="388">
        <f t="shared" si="2"/>
        <v>1160</v>
      </c>
    </row>
    <row r="536" ht="15.75" customHeight="1">
      <c r="A536" s="388">
        <v>1160.5</v>
      </c>
      <c r="B536" s="389">
        <v>1.79432229145E7</v>
      </c>
      <c r="C536" s="389">
        <f t="shared" si="1"/>
        <v>19978222.91</v>
      </c>
      <c r="D536" s="389">
        <v>118275.071603</v>
      </c>
      <c r="E536" s="8">
        <v>532.0</v>
      </c>
      <c r="H536" s="388">
        <f t="shared" si="2"/>
        <v>1160.5</v>
      </c>
    </row>
    <row r="537" ht="15.75" customHeight="1">
      <c r="A537" s="388">
        <v>1161.0</v>
      </c>
      <c r="B537" s="389">
        <v>1.80024318458E7</v>
      </c>
      <c r="C537" s="389">
        <f t="shared" si="1"/>
        <v>20037431.85</v>
      </c>
      <c r="D537" s="389">
        <v>118592.58556</v>
      </c>
      <c r="E537" s="8">
        <v>533.0</v>
      </c>
      <c r="H537" s="388">
        <f t="shared" si="2"/>
        <v>1161</v>
      </c>
    </row>
    <row r="538" ht="15.75" customHeight="1">
      <c r="A538" s="388">
        <v>1161.5</v>
      </c>
      <c r="B538" s="389">
        <v>1.80617998462E7</v>
      </c>
      <c r="C538" s="389">
        <f t="shared" si="1"/>
        <v>20096799.85</v>
      </c>
      <c r="D538" s="389">
        <v>118870.494629</v>
      </c>
      <c r="E538" s="8">
        <v>534.0</v>
      </c>
      <c r="H538" s="388">
        <f t="shared" si="2"/>
        <v>1161.5</v>
      </c>
    </row>
    <row r="539" ht="15.75" customHeight="1">
      <c r="A539" s="388">
        <v>1162.0</v>
      </c>
      <c r="B539" s="389">
        <v>1.81213069569E7</v>
      </c>
      <c r="C539" s="389">
        <f t="shared" si="1"/>
        <v>20156306.96</v>
      </c>
      <c r="D539" s="389">
        <v>119191.525198</v>
      </c>
      <c r="E539" s="8">
        <v>535.0</v>
      </c>
      <c r="H539" s="388">
        <f t="shared" si="2"/>
        <v>1162</v>
      </c>
    </row>
    <row r="540" ht="15.75" customHeight="1">
      <c r="A540" s="388">
        <v>1162.5</v>
      </c>
      <c r="B540" s="389">
        <v>1.81809626822E7</v>
      </c>
      <c r="C540" s="389">
        <f t="shared" si="1"/>
        <v>20215962.68</v>
      </c>
      <c r="D540" s="389">
        <v>119472.058569</v>
      </c>
      <c r="E540" s="8">
        <v>536.0</v>
      </c>
      <c r="H540" s="388">
        <f t="shared" si="2"/>
        <v>1162.5</v>
      </c>
    </row>
    <row r="541" ht="15.75" customHeight="1">
      <c r="A541" s="388">
        <v>1163.0</v>
      </c>
      <c r="B541" s="389">
        <v>1.8240770931E7</v>
      </c>
      <c r="C541" s="389">
        <f t="shared" si="1"/>
        <v>20275770.93</v>
      </c>
      <c r="D541" s="389">
        <v>119795.113163</v>
      </c>
      <c r="E541" s="8">
        <v>537.0</v>
      </c>
      <c r="H541" s="388">
        <f t="shared" si="2"/>
        <v>1163</v>
      </c>
    </row>
    <row r="542" ht="15.75" customHeight="1">
      <c r="A542" s="388">
        <v>1163.5</v>
      </c>
      <c r="B542" s="389">
        <v>1.83007401416E7</v>
      </c>
      <c r="C542" s="389">
        <f t="shared" si="1"/>
        <v>20335740.14</v>
      </c>
      <c r="D542" s="389">
        <v>120072.55273</v>
      </c>
      <c r="E542" s="8">
        <v>538.0</v>
      </c>
      <c r="H542" s="388">
        <f t="shared" si="2"/>
        <v>1163.5</v>
      </c>
    </row>
    <row r="543" ht="15.75" customHeight="1">
      <c r="A543" s="388">
        <v>1164.0</v>
      </c>
      <c r="B543" s="389">
        <v>1.83608489944E7</v>
      </c>
      <c r="C543" s="389">
        <f t="shared" si="1"/>
        <v>20395848.99</v>
      </c>
      <c r="D543" s="389">
        <v>120422.264786</v>
      </c>
      <c r="E543" s="8">
        <v>539.0</v>
      </c>
      <c r="H543" s="388">
        <f t="shared" si="2"/>
        <v>1164</v>
      </c>
    </row>
    <row r="544" ht="15.75" customHeight="1">
      <c r="A544" s="388">
        <v>1164.5</v>
      </c>
      <c r="B544" s="389">
        <v>1.84211377005E7</v>
      </c>
      <c r="C544" s="389">
        <f t="shared" si="1"/>
        <v>20456137.7</v>
      </c>
      <c r="D544" s="389">
        <v>120716.517697</v>
      </c>
      <c r="E544" s="8">
        <v>540.0</v>
      </c>
      <c r="H544" s="388">
        <f t="shared" si="2"/>
        <v>1164.5</v>
      </c>
    </row>
    <row r="545" ht="15.75" customHeight="1">
      <c r="A545" s="388">
        <v>1165.0</v>
      </c>
      <c r="B545" s="389">
        <v>1.84815779451E7</v>
      </c>
      <c r="C545" s="389">
        <f t="shared" si="1"/>
        <v>20516577.95</v>
      </c>
      <c r="D545" s="389">
        <v>121098.954457</v>
      </c>
      <c r="E545" s="8">
        <v>541.0</v>
      </c>
      <c r="H545" s="388">
        <f t="shared" si="2"/>
        <v>1165</v>
      </c>
    </row>
    <row r="546" ht="15.75" customHeight="1">
      <c r="A546" s="388">
        <v>1165.5</v>
      </c>
      <c r="B546" s="389">
        <v>1.85421919568E7</v>
      </c>
      <c r="C546" s="389">
        <f t="shared" si="1"/>
        <v>20577191.96</v>
      </c>
      <c r="D546" s="389">
        <v>121398.15025</v>
      </c>
      <c r="E546" s="8">
        <v>542.0</v>
      </c>
      <c r="H546" s="388">
        <f t="shared" si="2"/>
        <v>1165.5</v>
      </c>
    </row>
    <row r="547" ht="15.75" customHeight="1">
      <c r="A547" s="388">
        <v>1166.0</v>
      </c>
      <c r="B547" s="389">
        <v>1.86029717199E7</v>
      </c>
      <c r="C547" s="389">
        <f t="shared" si="1"/>
        <v>20637971.72</v>
      </c>
      <c r="D547" s="389">
        <v>121792.767756</v>
      </c>
      <c r="E547" s="8">
        <v>543.0</v>
      </c>
      <c r="H547" s="388">
        <f t="shared" si="2"/>
        <v>1166</v>
      </c>
    </row>
    <row r="548" ht="15.75" customHeight="1">
      <c r="A548" s="388">
        <v>1166.5</v>
      </c>
      <c r="B548" s="389">
        <v>1.86639471058E7</v>
      </c>
      <c r="C548" s="389">
        <f t="shared" si="1"/>
        <v>20698947.11</v>
      </c>
      <c r="D548" s="389">
        <v>122102.448561</v>
      </c>
      <c r="E548" s="8">
        <v>544.0</v>
      </c>
      <c r="H548" s="388">
        <f t="shared" si="2"/>
        <v>1166.5</v>
      </c>
    </row>
    <row r="549" ht="15.75" customHeight="1">
      <c r="A549" s="388">
        <v>1167.0</v>
      </c>
      <c r="B549" s="389">
        <v>1.87250783236E7</v>
      </c>
      <c r="C549" s="389">
        <f t="shared" si="1"/>
        <v>20760078.32</v>
      </c>
      <c r="D549" s="389">
        <v>122473.7162</v>
      </c>
      <c r="E549" s="8">
        <v>545.0</v>
      </c>
      <c r="H549" s="388">
        <f t="shared" si="2"/>
        <v>1167</v>
      </c>
    </row>
    <row r="550" ht="15.75" customHeight="1">
      <c r="A550" s="388">
        <v>1167.5</v>
      </c>
      <c r="B550" s="389">
        <v>1.87863950903E7</v>
      </c>
      <c r="C550" s="389">
        <f t="shared" si="1"/>
        <v>20821395.09</v>
      </c>
      <c r="D550" s="389">
        <v>122787.176801</v>
      </c>
      <c r="E550" s="8">
        <v>546.0</v>
      </c>
      <c r="H550" s="388">
        <f t="shared" si="2"/>
        <v>1167.5</v>
      </c>
    </row>
    <row r="551" ht="15.75" customHeight="1">
      <c r="A551" s="388">
        <v>1168.0</v>
      </c>
      <c r="B551" s="389">
        <v>1.88478744872E7</v>
      </c>
      <c r="C551" s="389">
        <f t="shared" si="1"/>
        <v>20882874.49</v>
      </c>
      <c r="D551" s="389">
        <v>123167.886049</v>
      </c>
      <c r="E551" s="8">
        <v>547.0</v>
      </c>
      <c r="H551" s="388">
        <f t="shared" si="2"/>
        <v>1168</v>
      </c>
    </row>
    <row r="552" ht="15.75" customHeight="1">
      <c r="A552" s="388">
        <v>1168.5</v>
      </c>
      <c r="B552" s="389">
        <v>1.89095404162E7</v>
      </c>
      <c r="C552" s="389">
        <f t="shared" si="1"/>
        <v>20944540.42</v>
      </c>
      <c r="D552" s="389">
        <v>123492.051663</v>
      </c>
      <c r="E552" s="8">
        <v>548.0</v>
      </c>
      <c r="H552" s="388">
        <f t="shared" si="2"/>
        <v>1168.5</v>
      </c>
    </row>
    <row r="553" ht="15.75" customHeight="1">
      <c r="A553" s="388">
        <v>1169.0</v>
      </c>
      <c r="B553" s="389">
        <v>1.89713599056E7</v>
      </c>
      <c r="C553" s="389">
        <f t="shared" si="1"/>
        <v>21006359.91</v>
      </c>
      <c r="D553" s="389">
        <v>123829.422451</v>
      </c>
      <c r="E553" s="8">
        <v>549.0</v>
      </c>
      <c r="H553" s="388">
        <f t="shared" si="2"/>
        <v>1169</v>
      </c>
    </row>
    <row r="554" ht="15.75" customHeight="1">
      <c r="A554" s="388">
        <v>1169.5</v>
      </c>
      <c r="B554" s="389">
        <v>1.90333956016E7</v>
      </c>
      <c r="C554" s="389">
        <f t="shared" si="1"/>
        <v>21068395.6</v>
      </c>
      <c r="D554" s="389">
        <v>124275.484063</v>
      </c>
      <c r="E554" s="8">
        <v>550.0</v>
      </c>
      <c r="H554" s="388">
        <f t="shared" si="2"/>
        <v>1169.5</v>
      </c>
    </row>
    <row r="555" ht="15.75" customHeight="1">
      <c r="A555" s="388">
        <v>1170.0</v>
      </c>
      <c r="B555" s="389">
        <v>1.90956220299E7</v>
      </c>
      <c r="C555" s="389">
        <f t="shared" si="1"/>
        <v>21130622.03</v>
      </c>
      <c r="D555" s="389">
        <v>124673.046974</v>
      </c>
      <c r="E555" s="8">
        <v>551.0</v>
      </c>
      <c r="H555" s="388">
        <f t="shared" si="2"/>
        <v>1170</v>
      </c>
    </row>
    <row r="556" ht="15.75" customHeight="1">
      <c r="A556" s="388">
        <v>1170.5</v>
      </c>
      <c r="B556" s="389">
        <v>1.91580427236E7</v>
      </c>
      <c r="C556" s="389">
        <f t="shared" si="1"/>
        <v>21193042.72</v>
      </c>
      <c r="D556" s="389">
        <v>125002.385113</v>
      </c>
      <c r="E556" s="8">
        <v>552.0</v>
      </c>
      <c r="H556" s="388">
        <f t="shared" si="2"/>
        <v>1170.5</v>
      </c>
    </row>
    <row r="557" ht="15.75" customHeight="1">
      <c r="A557" s="388">
        <v>1171.0</v>
      </c>
      <c r="B557" s="389">
        <v>1.92206288099E7</v>
      </c>
      <c r="C557" s="389">
        <f t="shared" si="1"/>
        <v>21255628.81</v>
      </c>
      <c r="D557" s="389">
        <v>125393.593984</v>
      </c>
      <c r="E557" s="8">
        <v>553.0</v>
      </c>
      <c r="H557" s="388">
        <f t="shared" si="2"/>
        <v>1171</v>
      </c>
    </row>
    <row r="558" ht="15.75" customHeight="1">
      <c r="A558" s="388">
        <v>1171.5</v>
      </c>
      <c r="B558" s="389">
        <v>1.92834151797E7</v>
      </c>
      <c r="C558" s="389">
        <f t="shared" si="1"/>
        <v>21318415.18</v>
      </c>
      <c r="D558" s="389">
        <v>125752.768112</v>
      </c>
      <c r="E558" s="8">
        <v>554.0</v>
      </c>
      <c r="H558" s="388">
        <f t="shared" si="2"/>
        <v>1171.5</v>
      </c>
    </row>
    <row r="559" ht="15.75" customHeight="1">
      <c r="A559" s="388">
        <v>1172.0</v>
      </c>
      <c r="B559" s="389">
        <v>1.93463701734E7</v>
      </c>
      <c r="C559" s="389">
        <f t="shared" si="1"/>
        <v>21381370.17</v>
      </c>
      <c r="D559" s="389">
        <v>126109.248934</v>
      </c>
      <c r="E559" s="8">
        <v>555.0</v>
      </c>
      <c r="H559" s="388">
        <f t="shared" si="2"/>
        <v>1172</v>
      </c>
    </row>
    <row r="560" ht="15.75" customHeight="1">
      <c r="A560" s="388">
        <v>1172.5</v>
      </c>
      <c r="B560" s="389">
        <v>1.94095370881E7</v>
      </c>
      <c r="C560" s="389">
        <f t="shared" si="1"/>
        <v>21444537.09</v>
      </c>
      <c r="D560" s="389">
        <v>126506.685072</v>
      </c>
      <c r="E560" s="8">
        <v>556.0</v>
      </c>
      <c r="H560" s="388">
        <f t="shared" si="2"/>
        <v>1172.5</v>
      </c>
    </row>
    <row r="561" ht="15.75" customHeight="1">
      <c r="A561" s="388">
        <v>1173.0</v>
      </c>
      <c r="B561" s="389">
        <v>1.94728814427E7</v>
      </c>
      <c r="C561" s="389">
        <f t="shared" si="1"/>
        <v>21507881.44</v>
      </c>
      <c r="D561" s="389">
        <v>126903.452099</v>
      </c>
      <c r="E561" s="8">
        <v>557.0</v>
      </c>
      <c r="H561" s="388">
        <f t="shared" si="2"/>
        <v>1173</v>
      </c>
    </row>
    <row r="562" ht="15.75" customHeight="1">
      <c r="A562" s="388">
        <v>1173.5</v>
      </c>
      <c r="B562" s="389">
        <v>1.9536423464E7</v>
      </c>
      <c r="C562" s="389">
        <f t="shared" si="1"/>
        <v>21571423.46</v>
      </c>
      <c r="D562" s="389">
        <v>127257.662078</v>
      </c>
      <c r="E562" s="8">
        <v>558.0</v>
      </c>
      <c r="H562" s="388">
        <f t="shared" si="2"/>
        <v>1173.5</v>
      </c>
    </row>
    <row r="563" ht="15.75" customHeight="1">
      <c r="A563" s="388">
        <v>1174.0</v>
      </c>
      <c r="B563" s="389">
        <v>1.96001435015E7</v>
      </c>
      <c r="C563" s="389">
        <f t="shared" si="1"/>
        <v>21635143.5</v>
      </c>
      <c r="D563" s="389">
        <v>127655.083703</v>
      </c>
      <c r="E563" s="8">
        <v>559.0</v>
      </c>
      <c r="H563" s="388">
        <f t="shared" si="2"/>
        <v>1174</v>
      </c>
    </row>
    <row r="564" ht="15.75" customHeight="1">
      <c r="A564" s="388">
        <v>1174.5</v>
      </c>
      <c r="B564" s="389">
        <v>1.96640649881E7</v>
      </c>
      <c r="C564" s="389">
        <f t="shared" si="1"/>
        <v>21699064.99</v>
      </c>
      <c r="D564" s="389">
        <v>128031.325116</v>
      </c>
      <c r="E564" s="8">
        <v>560.0</v>
      </c>
      <c r="H564" s="388">
        <f t="shared" si="2"/>
        <v>1174.5</v>
      </c>
    </row>
    <row r="565" ht="15.75" customHeight="1">
      <c r="A565" s="388">
        <v>1175.0</v>
      </c>
      <c r="B565" s="389">
        <v>1.9728171063E7</v>
      </c>
      <c r="C565" s="389">
        <f t="shared" si="1"/>
        <v>21763171.06</v>
      </c>
      <c r="D565" s="389">
        <v>128425.96667</v>
      </c>
      <c r="E565" s="8">
        <v>561.0</v>
      </c>
      <c r="H565" s="388">
        <f t="shared" si="2"/>
        <v>1175</v>
      </c>
    </row>
    <row r="566" ht="15.75" customHeight="1">
      <c r="A566" s="388">
        <v>1175.5</v>
      </c>
      <c r="B566" s="389">
        <v>1.97924587201E7</v>
      </c>
      <c r="C566" s="389">
        <f t="shared" si="1"/>
        <v>21827458.72</v>
      </c>
      <c r="D566" s="389">
        <v>128767.179817</v>
      </c>
      <c r="E566" s="8">
        <v>562.0</v>
      </c>
      <c r="H566" s="388">
        <f t="shared" si="2"/>
        <v>1175.5</v>
      </c>
    </row>
    <row r="567" ht="15.75" customHeight="1">
      <c r="A567" s="388">
        <v>1176.0</v>
      </c>
      <c r="B567" s="389">
        <v>1.98569281532E7</v>
      </c>
      <c r="C567" s="389">
        <f t="shared" si="1"/>
        <v>21891928.15</v>
      </c>
      <c r="D567" s="389">
        <v>129147.38808</v>
      </c>
      <c r="E567" s="8">
        <v>563.0</v>
      </c>
      <c r="H567" s="388">
        <f t="shared" si="2"/>
        <v>1176</v>
      </c>
    </row>
    <row r="568" ht="15.75" customHeight="1">
      <c r="A568" s="388">
        <v>1176.5</v>
      </c>
      <c r="B568" s="389">
        <v>1.99215867871E7</v>
      </c>
      <c r="C568" s="389">
        <f t="shared" si="1"/>
        <v>21956586.79</v>
      </c>
      <c r="D568" s="389">
        <v>129478.171116</v>
      </c>
      <c r="E568" s="8">
        <v>564.0</v>
      </c>
      <c r="H568" s="388">
        <f t="shared" si="2"/>
        <v>1176.5</v>
      </c>
    </row>
    <row r="569" ht="15.75" customHeight="1">
      <c r="A569" s="388">
        <v>1177.0</v>
      </c>
      <c r="B569" s="389">
        <v>1.99864084531E7</v>
      </c>
      <c r="C569" s="389">
        <f t="shared" si="1"/>
        <v>22021408.45</v>
      </c>
      <c r="D569" s="389">
        <v>129833.923376</v>
      </c>
      <c r="E569" s="8">
        <v>565.0</v>
      </c>
      <c r="H569" s="388">
        <f t="shared" si="2"/>
        <v>1177</v>
      </c>
    </row>
    <row r="570" ht="15.75" customHeight="1">
      <c r="A570" s="388">
        <v>1177.5</v>
      </c>
      <c r="B570" s="389">
        <v>2.00514041698E7</v>
      </c>
      <c r="C570" s="389">
        <f t="shared" si="1"/>
        <v>22086404.17</v>
      </c>
      <c r="D570" s="389">
        <v>130139.88281</v>
      </c>
      <c r="E570" s="8">
        <v>566.0</v>
      </c>
      <c r="H570" s="388">
        <f t="shared" si="2"/>
        <v>1177.5</v>
      </c>
    </row>
    <row r="571" ht="15.75" customHeight="1">
      <c r="A571" s="388">
        <v>1178.0</v>
      </c>
      <c r="B571" s="389">
        <v>2.01165520444E7</v>
      </c>
      <c r="C571" s="389">
        <f t="shared" si="1"/>
        <v>22151552.04</v>
      </c>
      <c r="D571" s="389">
        <v>130489.589272</v>
      </c>
      <c r="E571" s="8">
        <v>567.0</v>
      </c>
      <c r="H571" s="388">
        <f t="shared" si="2"/>
        <v>1178</v>
      </c>
    </row>
    <row r="572" ht="15.75" customHeight="1">
      <c r="A572" s="388">
        <v>1178.5</v>
      </c>
      <c r="B572" s="389">
        <v>2.01818620992E7</v>
      </c>
      <c r="C572" s="389">
        <f t="shared" si="1"/>
        <v>22216862.1</v>
      </c>
      <c r="D572" s="389">
        <v>130795.107789</v>
      </c>
      <c r="E572" s="8">
        <v>568.0</v>
      </c>
      <c r="H572" s="388">
        <f t="shared" si="2"/>
        <v>1178.5</v>
      </c>
    </row>
    <row r="573" ht="15.75" customHeight="1">
      <c r="A573" s="388">
        <v>1179.0</v>
      </c>
      <c r="B573" s="389">
        <v>2.02473456039E7</v>
      </c>
      <c r="C573" s="389">
        <f t="shared" si="1"/>
        <v>22282345.6</v>
      </c>
      <c r="D573" s="389">
        <v>131158.298376</v>
      </c>
      <c r="E573" s="8">
        <v>569.0</v>
      </c>
      <c r="H573" s="388">
        <f t="shared" si="2"/>
        <v>1179</v>
      </c>
    </row>
    <row r="574" ht="15.75" customHeight="1">
      <c r="A574" s="388">
        <v>1179.5</v>
      </c>
      <c r="B574" s="389">
        <v>2.03130022443E7</v>
      </c>
      <c r="C574" s="389">
        <f t="shared" si="1"/>
        <v>22348002.24</v>
      </c>
      <c r="D574" s="389">
        <v>131459.753649</v>
      </c>
      <c r="E574" s="8">
        <v>570.0</v>
      </c>
      <c r="H574" s="388">
        <f t="shared" si="2"/>
        <v>1179.5</v>
      </c>
    </row>
    <row r="575" ht="15.75" customHeight="1">
      <c r="A575" s="388">
        <v>1180.0</v>
      </c>
      <c r="B575" s="389">
        <v>2.0378809302E7</v>
      </c>
      <c r="C575" s="389">
        <f t="shared" si="1"/>
        <v>22413809.3</v>
      </c>
      <c r="D575" s="389">
        <v>131791.783888</v>
      </c>
      <c r="E575" s="8">
        <v>571.0</v>
      </c>
      <c r="H575" s="388">
        <f t="shared" si="2"/>
        <v>1180</v>
      </c>
    </row>
    <row r="576" ht="15.75" customHeight="1">
      <c r="A576" s="388">
        <v>1180.5</v>
      </c>
      <c r="B576" s="389">
        <v>2.04447796959E7</v>
      </c>
      <c r="C576" s="389">
        <f t="shared" si="1"/>
        <v>22479779.7</v>
      </c>
      <c r="D576" s="389">
        <v>132080.8726</v>
      </c>
      <c r="E576" s="8">
        <v>572.0</v>
      </c>
      <c r="H576" s="388">
        <f t="shared" si="2"/>
        <v>1180.5</v>
      </c>
    </row>
    <row r="577" ht="15.75" customHeight="1">
      <c r="A577" s="388">
        <v>1181.0</v>
      </c>
      <c r="B577" s="389">
        <v>2.05108933361E7</v>
      </c>
      <c r="C577" s="389">
        <f t="shared" si="1"/>
        <v>22545893.34</v>
      </c>
      <c r="D577" s="389">
        <v>132402.352746</v>
      </c>
      <c r="E577" s="8">
        <v>573.0</v>
      </c>
      <c r="H577" s="388">
        <f t="shared" si="2"/>
        <v>1181</v>
      </c>
    </row>
    <row r="578" ht="15.75" customHeight="1">
      <c r="A578" s="388">
        <v>1181.5</v>
      </c>
      <c r="B578" s="389">
        <v>2.0577156063E7</v>
      </c>
      <c r="C578" s="389">
        <f t="shared" si="1"/>
        <v>22612156.06</v>
      </c>
      <c r="D578" s="389">
        <v>132693.906419</v>
      </c>
      <c r="E578" s="8">
        <v>574.0</v>
      </c>
      <c r="H578" s="388">
        <f t="shared" si="2"/>
        <v>1181.5</v>
      </c>
    </row>
    <row r="579" ht="15.75" customHeight="1">
      <c r="A579" s="388">
        <v>1182.0</v>
      </c>
      <c r="B579" s="389">
        <v>2.06436037066E7</v>
      </c>
      <c r="C579" s="389">
        <f t="shared" si="1"/>
        <v>22678603.71</v>
      </c>
      <c r="D579" s="389">
        <v>133085.740607</v>
      </c>
      <c r="E579" s="8">
        <v>575.0</v>
      </c>
      <c r="H579" s="388">
        <f t="shared" si="2"/>
        <v>1182</v>
      </c>
    </row>
    <row r="580" ht="15.75" customHeight="1">
      <c r="A580" s="388">
        <v>1182.5</v>
      </c>
      <c r="B580" s="389">
        <v>2.0710222404E7</v>
      </c>
      <c r="C580" s="389">
        <f t="shared" si="1"/>
        <v>22745222.4</v>
      </c>
      <c r="D580" s="389">
        <v>133380.362744</v>
      </c>
      <c r="E580" s="8">
        <v>576.0</v>
      </c>
      <c r="H580" s="388">
        <f t="shared" si="2"/>
        <v>1182.5</v>
      </c>
    </row>
    <row r="581" ht="15.75" customHeight="1">
      <c r="A581" s="388">
        <v>1183.0</v>
      </c>
      <c r="B581" s="389">
        <v>2.07769870577E7</v>
      </c>
      <c r="C581" s="389">
        <f t="shared" si="1"/>
        <v>22811987.06</v>
      </c>
      <c r="D581" s="389">
        <v>133699.336977</v>
      </c>
      <c r="E581" s="8">
        <v>577.0</v>
      </c>
      <c r="H581" s="388">
        <f t="shared" si="2"/>
        <v>1183</v>
      </c>
    </row>
    <row r="582" ht="15.75" customHeight="1">
      <c r="A582" s="388">
        <v>1183.5</v>
      </c>
      <c r="B582" s="389">
        <v>2.08439119856E7</v>
      </c>
      <c r="C582" s="389">
        <f t="shared" si="1"/>
        <v>22878911.99</v>
      </c>
      <c r="D582" s="389">
        <v>133992.449312</v>
      </c>
      <c r="E582" s="8">
        <v>578.0</v>
      </c>
      <c r="H582" s="388">
        <f t="shared" si="2"/>
        <v>1183.5</v>
      </c>
    </row>
    <row r="583" ht="15.75" customHeight="1">
      <c r="A583" s="388">
        <v>1184.0</v>
      </c>
      <c r="B583" s="389">
        <v>2.09109850652E7</v>
      </c>
      <c r="C583" s="389">
        <f t="shared" si="1"/>
        <v>22945985.07</v>
      </c>
      <c r="D583" s="389">
        <v>134311.769934</v>
      </c>
      <c r="E583" s="8">
        <v>579.0</v>
      </c>
      <c r="H583" s="388">
        <f t="shared" si="2"/>
        <v>1184</v>
      </c>
    </row>
    <row r="584" ht="15.75" customHeight="1">
      <c r="A584" s="388">
        <v>1184.5</v>
      </c>
      <c r="B584" s="389">
        <v>2.09782185397E7</v>
      </c>
      <c r="C584" s="389">
        <f t="shared" si="1"/>
        <v>23013218.54</v>
      </c>
      <c r="D584" s="389">
        <v>134615.197194</v>
      </c>
      <c r="E584" s="8">
        <v>580.0</v>
      </c>
      <c r="H584" s="388">
        <f t="shared" si="2"/>
        <v>1184.5</v>
      </c>
    </row>
    <row r="585" ht="15.75" customHeight="1">
      <c r="A585" s="388">
        <v>1185.0</v>
      </c>
      <c r="B585" s="389">
        <v>2.10455914801E7</v>
      </c>
      <c r="C585" s="389">
        <f t="shared" si="1"/>
        <v>23080591.48</v>
      </c>
      <c r="D585" s="389">
        <v>134923.276198</v>
      </c>
      <c r="E585" s="8">
        <v>581.0</v>
      </c>
      <c r="H585" s="388">
        <f t="shared" si="2"/>
        <v>1185</v>
      </c>
    </row>
    <row r="586" ht="15.75" customHeight="1">
      <c r="A586" s="388">
        <v>1185.5</v>
      </c>
      <c r="B586" s="389">
        <v>2.11131425784E7</v>
      </c>
      <c r="C586" s="389">
        <f t="shared" si="1"/>
        <v>23148142.58</v>
      </c>
      <c r="D586" s="389">
        <v>135256.345842</v>
      </c>
      <c r="E586" s="8">
        <v>582.0</v>
      </c>
      <c r="H586" s="388">
        <f t="shared" si="2"/>
        <v>1185.5</v>
      </c>
    </row>
    <row r="587" ht="15.75" customHeight="1">
      <c r="A587" s="388">
        <v>1186.0</v>
      </c>
      <c r="B587" s="389">
        <v>2.11808510245E7</v>
      </c>
      <c r="C587" s="389">
        <f t="shared" si="1"/>
        <v>23215851.02</v>
      </c>
      <c r="D587" s="389">
        <v>135597.952292</v>
      </c>
      <c r="E587" s="8">
        <v>583.0</v>
      </c>
      <c r="H587" s="388">
        <f t="shared" si="2"/>
        <v>1186</v>
      </c>
    </row>
    <row r="588" ht="15.75" customHeight="1">
      <c r="A588" s="388">
        <v>1186.5</v>
      </c>
      <c r="B588" s="389">
        <v>2.12487303371E7</v>
      </c>
      <c r="C588" s="389">
        <f t="shared" si="1"/>
        <v>23283730.34</v>
      </c>
      <c r="D588" s="389">
        <v>135912.317586</v>
      </c>
      <c r="E588" s="8">
        <v>584.0</v>
      </c>
      <c r="H588" s="388">
        <f t="shared" si="2"/>
        <v>1186.5</v>
      </c>
    </row>
    <row r="589" ht="15.75" customHeight="1">
      <c r="A589" s="388">
        <v>1187.0</v>
      </c>
      <c r="B589" s="389">
        <v>2.1316767159E7</v>
      </c>
      <c r="C589" s="389">
        <f t="shared" si="1"/>
        <v>23351767.16</v>
      </c>
      <c r="D589" s="389">
        <v>136249.372239</v>
      </c>
      <c r="E589" s="8">
        <v>585.0</v>
      </c>
      <c r="H589" s="388">
        <f t="shared" si="2"/>
        <v>1187</v>
      </c>
    </row>
    <row r="590" ht="15.75" customHeight="1">
      <c r="A590" s="388">
        <v>1187.5</v>
      </c>
      <c r="B590" s="389">
        <v>2.13849724652E7</v>
      </c>
      <c r="C590" s="389">
        <f t="shared" si="1"/>
        <v>23419972.47</v>
      </c>
      <c r="D590" s="389">
        <v>136567.133179</v>
      </c>
      <c r="E590" s="8">
        <v>586.0</v>
      </c>
      <c r="H590" s="388">
        <f t="shared" si="2"/>
        <v>1187.5</v>
      </c>
    </row>
    <row r="591" ht="15.75" customHeight="1">
      <c r="A591" s="388">
        <v>1188.0</v>
      </c>
      <c r="B591" s="389">
        <v>2.14533310868E7</v>
      </c>
      <c r="C591" s="389">
        <f t="shared" si="1"/>
        <v>23488331.09</v>
      </c>
      <c r="D591" s="389">
        <v>136896.572917</v>
      </c>
      <c r="E591" s="8">
        <v>587.0</v>
      </c>
      <c r="H591" s="388">
        <f t="shared" si="2"/>
        <v>1188</v>
      </c>
    </row>
    <row r="592" ht="15.75" customHeight="1">
      <c r="A592" s="388">
        <v>1188.5</v>
      </c>
      <c r="B592" s="389">
        <v>2.15218711731E7</v>
      </c>
      <c r="C592" s="389">
        <f t="shared" si="1"/>
        <v>23556871.17</v>
      </c>
      <c r="D592" s="389">
        <v>137232.556363</v>
      </c>
      <c r="E592" s="8">
        <v>588.0</v>
      </c>
      <c r="H592" s="388">
        <f t="shared" si="2"/>
        <v>1188.5</v>
      </c>
    </row>
    <row r="593" ht="15.75" customHeight="1">
      <c r="A593" s="388">
        <v>1189.0</v>
      </c>
      <c r="B593" s="389">
        <v>2.15905683706E7</v>
      </c>
      <c r="C593" s="389">
        <f t="shared" si="1"/>
        <v>23625568.37</v>
      </c>
      <c r="D593" s="389">
        <v>137569.812261</v>
      </c>
      <c r="E593" s="8">
        <v>589.0</v>
      </c>
      <c r="H593" s="388">
        <f t="shared" si="2"/>
        <v>1189</v>
      </c>
    </row>
    <row r="594" ht="15.75" customHeight="1">
      <c r="A594" s="388">
        <v>1189.5</v>
      </c>
      <c r="B594" s="389">
        <v>2.16594328059E7</v>
      </c>
      <c r="C594" s="389">
        <f t="shared" si="1"/>
        <v>23694432.81</v>
      </c>
      <c r="D594" s="389">
        <v>137909.767361</v>
      </c>
      <c r="E594" s="8">
        <v>590.0</v>
      </c>
      <c r="H594" s="388">
        <f t="shared" si="2"/>
        <v>1189.5</v>
      </c>
    </row>
    <row r="595" ht="15.75" customHeight="1">
      <c r="A595" s="388">
        <v>1190.0</v>
      </c>
      <c r="B595" s="389">
        <v>2.17284686181E7</v>
      </c>
      <c r="C595" s="389">
        <f t="shared" si="1"/>
        <v>23763468.62</v>
      </c>
      <c r="D595" s="389">
        <v>138245.642805</v>
      </c>
      <c r="E595" s="8">
        <v>591.0</v>
      </c>
      <c r="H595" s="388">
        <f t="shared" si="2"/>
        <v>1190</v>
      </c>
    </row>
    <row r="596" ht="15.75" customHeight="1">
      <c r="A596" s="388">
        <v>1190.5</v>
      </c>
      <c r="B596" s="389">
        <v>2.17976692683E7</v>
      </c>
      <c r="C596" s="389">
        <f t="shared" si="1"/>
        <v>23832669.27</v>
      </c>
      <c r="D596" s="389">
        <v>138549.039156</v>
      </c>
      <c r="E596" s="8">
        <v>592.0</v>
      </c>
      <c r="H596" s="388">
        <f t="shared" si="2"/>
        <v>1190.5</v>
      </c>
    </row>
    <row r="597" ht="15.75" customHeight="1">
      <c r="A597" s="388">
        <v>1191.0</v>
      </c>
      <c r="B597" s="389">
        <v>2.18670217597E7</v>
      </c>
      <c r="C597" s="389">
        <f t="shared" si="1"/>
        <v>23902021.76</v>
      </c>
      <c r="D597" s="389">
        <v>138873.096544</v>
      </c>
      <c r="E597" s="8">
        <v>593.0</v>
      </c>
      <c r="H597" s="388">
        <f t="shared" si="2"/>
        <v>1191</v>
      </c>
    </row>
    <row r="598" ht="15.75" customHeight="1">
      <c r="A598" s="388">
        <v>1191.5</v>
      </c>
      <c r="B598" s="389">
        <v>2.19365225242E7</v>
      </c>
      <c r="C598" s="389">
        <f t="shared" si="1"/>
        <v>23971522.52</v>
      </c>
      <c r="D598" s="389">
        <v>139178.999411</v>
      </c>
      <c r="E598" s="8">
        <v>594.0</v>
      </c>
      <c r="H598" s="388">
        <f t="shared" si="2"/>
        <v>1191.5</v>
      </c>
    </row>
    <row r="599" ht="15.75" customHeight="1">
      <c r="A599" s="388">
        <v>1192.0</v>
      </c>
      <c r="B599" s="389">
        <v>2.20061939147E7</v>
      </c>
      <c r="C599" s="389">
        <f t="shared" si="1"/>
        <v>24041193.91</v>
      </c>
      <c r="D599" s="389">
        <v>139519.051764</v>
      </c>
      <c r="E599" s="8">
        <v>595.0</v>
      </c>
      <c r="H599" s="388">
        <f t="shared" si="2"/>
        <v>1192</v>
      </c>
    </row>
    <row r="600" ht="15.75" customHeight="1">
      <c r="A600" s="388">
        <v>1192.5</v>
      </c>
      <c r="B600" s="389">
        <v>2.20760364412E7</v>
      </c>
      <c r="C600" s="389">
        <f t="shared" si="1"/>
        <v>24111036.44</v>
      </c>
      <c r="D600" s="389">
        <v>139842.360985</v>
      </c>
      <c r="E600" s="8">
        <v>596.0</v>
      </c>
      <c r="H600" s="388">
        <f t="shared" si="2"/>
        <v>1192.5</v>
      </c>
    </row>
    <row r="601" ht="15.75" customHeight="1">
      <c r="A601" s="388">
        <v>1193.0</v>
      </c>
      <c r="B601" s="389">
        <v>2.21460402822E7</v>
      </c>
      <c r="C601" s="389">
        <f t="shared" si="1"/>
        <v>24181040.28</v>
      </c>
      <c r="D601" s="389">
        <v>140183.332913</v>
      </c>
      <c r="E601" s="8">
        <v>597.0</v>
      </c>
      <c r="H601" s="388">
        <f t="shared" si="2"/>
        <v>1193</v>
      </c>
    </row>
    <row r="602" ht="15.75" customHeight="1">
      <c r="A602" s="388">
        <v>1193.5</v>
      </c>
      <c r="B602" s="389">
        <v>2.22162148865E7</v>
      </c>
      <c r="C602" s="389">
        <f t="shared" si="1"/>
        <v>24251214.89</v>
      </c>
      <c r="D602" s="389">
        <v>140506.724968</v>
      </c>
      <c r="E602" s="8">
        <v>598.0</v>
      </c>
      <c r="H602" s="388">
        <f t="shared" si="2"/>
        <v>1193.5</v>
      </c>
    </row>
    <row r="603" ht="15.75" customHeight="1">
      <c r="A603" s="388">
        <v>1194.0</v>
      </c>
      <c r="B603" s="389">
        <v>2.22865518997E7</v>
      </c>
      <c r="C603" s="389">
        <f t="shared" si="1"/>
        <v>24321551.9</v>
      </c>
      <c r="D603" s="389">
        <v>140854.930154</v>
      </c>
      <c r="E603" s="8">
        <v>599.0</v>
      </c>
      <c r="H603" s="388">
        <f t="shared" si="2"/>
        <v>1194</v>
      </c>
    </row>
    <row r="604" ht="15.75" customHeight="1">
      <c r="A604" s="388">
        <v>1194.5</v>
      </c>
      <c r="B604" s="389">
        <v>2.23570518761E7</v>
      </c>
      <c r="C604" s="389">
        <f t="shared" si="1"/>
        <v>24392051.88</v>
      </c>
      <c r="D604" s="389">
        <v>141193.471811</v>
      </c>
      <c r="E604" s="8">
        <v>600.0</v>
      </c>
      <c r="H604" s="388">
        <f t="shared" si="2"/>
        <v>1194.5</v>
      </c>
    </row>
    <row r="605" ht="15.75" customHeight="1">
      <c r="A605" s="388">
        <v>1195.0</v>
      </c>
      <c r="B605" s="389">
        <v>2.24277358263E7</v>
      </c>
      <c r="C605" s="389">
        <f t="shared" si="1"/>
        <v>24462735.83</v>
      </c>
      <c r="D605" s="389">
        <v>141553.993662</v>
      </c>
      <c r="E605" s="8">
        <v>601.0</v>
      </c>
      <c r="H605" s="388">
        <f t="shared" si="2"/>
        <v>1195</v>
      </c>
    </row>
    <row r="606" ht="15.75" customHeight="1">
      <c r="A606" s="388">
        <v>1195.5</v>
      </c>
      <c r="B606" s="389">
        <v>2.24985978607E7</v>
      </c>
      <c r="C606" s="389">
        <f t="shared" si="1"/>
        <v>24533597.86</v>
      </c>
      <c r="D606" s="389">
        <v>141885.120832</v>
      </c>
      <c r="E606" s="8">
        <v>602.0</v>
      </c>
      <c r="H606" s="388">
        <f t="shared" si="2"/>
        <v>1195.5</v>
      </c>
    </row>
    <row r="607" ht="15.75" customHeight="1">
      <c r="A607" s="388">
        <v>1196.0</v>
      </c>
      <c r="B607" s="389">
        <v>2.25696240804E7</v>
      </c>
      <c r="C607" s="389">
        <f t="shared" si="1"/>
        <v>24604624.08</v>
      </c>
      <c r="D607" s="389">
        <v>142223.74649</v>
      </c>
      <c r="E607" s="8">
        <v>603.0</v>
      </c>
      <c r="H607" s="388">
        <f t="shared" si="2"/>
        <v>1196</v>
      </c>
    </row>
    <row r="608" ht="15.75" customHeight="1">
      <c r="A608" s="388">
        <v>1196.5</v>
      </c>
      <c r="B608" s="389">
        <v>2.2640816464E7</v>
      </c>
      <c r="C608" s="389">
        <f t="shared" si="1"/>
        <v>24675816.46</v>
      </c>
      <c r="D608" s="389">
        <v>142536.328299</v>
      </c>
      <c r="E608" s="8">
        <v>604.0</v>
      </c>
      <c r="H608" s="388">
        <f t="shared" si="2"/>
        <v>1196.5</v>
      </c>
    </row>
    <row r="609" ht="15.75" customHeight="1">
      <c r="A609" s="388">
        <v>1197.0</v>
      </c>
      <c r="B609" s="389">
        <v>2.27121657598E7</v>
      </c>
      <c r="C609" s="389">
        <f t="shared" si="1"/>
        <v>24747165.76</v>
      </c>
      <c r="D609" s="389">
        <v>142870.39796</v>
      </c>
      <c r="E609" s="8">
        <v>605.0</v>
      </c>
      <c r="H609" s="388">
        <f t="shared" si="2"/>
        <v>1197</v>
      </c>
    </row>
    <row r="610" ht="15.75" customHeight="1">
      <c r="A610" s="388">
        <v>1197.5</v>
      </c>
      <c r="B610" s="389">
        <v>2.27836683333E7</v>
      </c>
      <c r="C610" s="389">
        <f t="shared" si="1"/>
        <v>24818668.33</v>
      </c>
      <c r="D610" s="389">
        <v>143189.348285</v>
      </c>
      <c r="E610" s="8">
        <v>606.0</v>
      </c>
      <c r="H610" s="388">
        <f t="shared" si="2"/>
        <v>1197.5</v>
      </c>
    </row>
    <row r="611" ht="15.75" customHeight="1">
      <c r="A611" s="388">
        <v>1198.0</v>
      </c>
      <c r="B611" s="389">
        <v>2.28553463735E7</v>
      </c>
      <c r="C611" s="389">
        <f t="shared" si="1"/>
        <v>24890346.37</v>
      </c>
      <c r="D611" s="389">
        <v>143531.319162</v>
      </c>
      <c r="E611" s="8">
        <v>607.0</v>
      </c>
      <c r="H611" s="388">
        <f t="shared" si="2"/>
        <v>1198</v>
      </c>
    </row>
    <row r="612" ht="15.75" customHeight="1">
      <c r="A612" s="388">
        <v>1198.5</v>
      </c>
      <c r="B612" s="389">
        <v>2.29271956834E7</v>
      </c>
      <c r="C612" s="389">
        <f t="shared" si="1"/>
        <v>24962195.68</v>
      </c>
      <c r="D612" s="389">
        <v>143855.386414</v>
      </c>
      <c r="E612" s="8">
        <v>608.0</v>
      </c>
      <c r="H612" s="388">
        <f t="shared" si="2"/>
        <v>1198.5</v>
      </c>
    </row>
    <row r="613" ht="15.75" customHeight="1">
      <c r="A613" s="388">
        <v>1199.0</v>
      </c>
      <c r="B613" s="389">
        <v>2.29992050303E7</v>
      </c>
      <c r="C613" s="389">
        <f t="shared" si="1"/>
        <v>25034205.03</v>
      </c>
      <c r="D613" s="389">
        <v>144191.484273</v>
      </c>
      <c r="E613" s="8">
        <v>609.0</v>
      </c>
      <c r="H613" s="388">
        <f t="shared" si="2"/>
        <v>1199</v>
      </c>
    </row>
    <row r="614" ht="15.75" customHeight="1">
      <c r="A614" s="388">
        <v>1199.5</v>
      </c>
      <c r="B614" s="389">
        <v>2.30713812962E7</v>
      </c>
      <c r="C614" s="389">
        <f t="shared" si="1"/>
        <v>25106381.3</v>
      </c>
      <c r="D614" s="389">
        <v>144503.710891</v>
      </c>
      <c r="E614" s="8">
        <v>610.0</v>
      </c>
      <c r="H614" s="388">
        <f t="shared" si="2"/>
        <v>1199.5</v>
      </c>
    </row>
    <row r="615" ht="15.75" customHeight="1">
      <c r="A615" s="388">
        <v>1200.0</v>
      </c>
      <c r="B615" s="389">
        <v>2.31437135704E7</v>
      </c>
      <c r="C615" s="389">
        <f t="shared" si="1"/>
        <v>25178713.57</v>
      </c>
      <c r="D615" s="389">
        <v>144834.116038</v>
      </c>
      <c r="E615" s="8">
        <v>611.0</v>
      </c>
      <c r="H615" s="388">
        <f t="shared" si="2"/>
        <v>1200</v>
      </c>
    </row>
    <row r="616" ht="15.75" customHeight="1">
      <c r="A616" s="388">
        <v>1200.5</v>
      </c>
      <c r="B616" s="389">
        <v>2.32162103752E7</v>
      </c>
      <c r="C616" s="389">
        <f t="shared" si="1"/>
        <v>25251210.38</v>
      </c>
      <c r="D616" s="389">
        <v>145144.152294</v>
      </c>
      <c r="E616" s="8">
        <v>612.0</v>
      </c>
      <c r="H616" s="388">
        <f t="shared" si="2"/>
        <v>1200.5</v>
      </c>
    </row>
    <row r="617" ht="15.75" customHeight="1">
      <c r="A617" s="388">
        <v>1201.0</v>
      </c>
      <c r="B617" s="389">
        <v>2.32888488968E7</v>
      </c>
      <c r="C617" s="389">
        <f t="shared" si="1"/>
        <v>25323848.9</v>
      </c>
      <c r="D617" s="389">
        <v>145458.023427</v>
      </c>
      <c r="E617" s="8">
        <v>613.0</v>
      </c>
      <c r="H617" s="388">
        <f t="shared" si="2"/>
        <v>1201</v>
      </c>
    </row>
    <row r="618" ht="15.75" customHeight="1">
      <c r="A618" s="388">
        <v>1201.5</v>
      </c>
      <c r="B618" s="389">
        <v>2.33616785308E7</v>
      </c>
      <c r="C618" s="389">
        <f t="shared" si="1"/>
        <v>25396678.53</v>
      </c>
      <c r="D618" s="389">
        <v>145852.829714</v>
      </c>
      <c r="E618" s="8">
        <v>614.0</v>
      </c>
      <c r="H618" s="388">
        <f t="shared" si="2"/>
        <v>1201.5</v>
      </c>
    </row>
    <row r="619" ht="15.75" customHeight="1">
      <c r="A619" s="388">
        <v>1202.0</v>
      </c>
      <c r="B619" s="389">
        <v>2.34346879553E7</v>
      </c>
      <c r="C619" s="389">
        <f t="shared" si="1"/>
        <v>25469687.96</v>
      </c>
      <c r="D619" s="389">
        <v>146196.888419</v>
      </c>
      <c r="E619" s="8">
        <v>615.0</v>
      </c>
      <c r="H619" s="388">
        <f t="shared" si="2"/>
        <v>1202</v>
      </c>
    </row>
    <row r="620" ht="15.75" customHeight="1">
      <c r="A620" s="388">
        <v>1202.5</v>
      </c>
      <c r="B620" s="389">
        <v>2.35078750307E7</v>
      </c>
      <c r="C620" s="389">
        <f t="shared" si="1"/>
        <v>25542875.03</v>
      </c>
      <c r="D620" s="389">
        <v>146560.869309</v>
      </c>
      <c r="E620" s="8">
        <v>616.0</v>
      </c>
      <c r="H620" s="388">
        <f t="shared" si="2"/>
        <v>1202.5</v>
      </c>
    </row>
    <row r="621" ht="15.75" customHeight="1">
      <c r="A621" s="388">
        <v>1203.0</v>
      </c>
      <c r="B621" s="389">
        <v>2.35813264346E7</v>
      </c>
      <c r="C621" s="389">
        <f t="shared" si="1"/>
        <v>25616326.43</v>
      </c>
      <c r="D621" s="389">
        <v>147143.769027</v>
      </c>
      <c r="E621" s="8">
        <v>617.0</v>
      </c>
      <c r="H621" s="388">
        <f t="shared" si="2"/>
        <v>1203</v>
      </c>
    </row>
    <row r="622" ht="15.75" customHeight="1">
      <c r="A622" s="388">
        <v>1203.5</v>
      </c>
      <c r="B622" s="389">
        <v>2.36549861521E7</v>
      </c>
      <c r="C622" s="389">
        <f t="shared" si="1"/>
        <v>25689986.15</v>
      </c>
      <c r="D622" s="389">
        <v>147480.398454</v>
      </c>
      <c r="E622" s="8">
        <v>618.0</v>
      </c>
      <c r="H622" s="388">
        <f t="shared" si="2"/>
        <v>1203.5</v>
      </c>
    </row>
    <row r="623" ht="15.75" customHeight="1">
      <c r="A623" s="388">
        <v>1204.0</v>
      </c>
      <c r="B623" s="389">
        <v>2.37287945107E7</v>
      </c>
      <c r="C623" s="389">
        <f t="shared" si="1"/>
        <v>25763794.51</v>
      </c>
      <c r="D623" s="389">
        <v>147803.168649</v>
      </c>
      <c r="E623" s="8">
        <v>619.0</v>
      </c>
      <c r="H623" s="388">
        <f t="shared" si="2"/>
        <v>1204</v>
      </c>
    </row>
    <row r="624" ht="15.75" customHeight="1">
      <c r="A624" s="388">
        <v>1204.5</v>
      </c>
      <c r="B624" s="389">
        <v>2.38027880943E7</v>
      </c>
      <c r="C624" s="389">
        <f t="shared" si="1"/>
        <v>25837788.09</v>
      </c>
      <c r="D624" s="389">
        <v>148147.671845</v>
      </c>
      <c r="E624" s="8">
        <v>620.0</v>
      </c>
      <c r="H624" s="388">
        <f t="shared" si="2"/>
        <v>1204.5</v>
      </c>
    </row>
    <row r="625" ht="15.75" customHeight="1">
      <c r="A625" s="388">
        <v>1205.0</v>
      </c>
      <c r="B625" s="389">
        <v>2.38769495085E7</v>
      </c>
      <c r="C625" s="389">
        <f t="shared" si="1"/>
        <v>25911949.51</v>
      </c>
      <c r="D625" s="389">
        <v>148511.018502</v>
      </c>
      <c r="E625" s="8">
        <v>621.0</v>
      </c>
      <c r="H625" s="388">
        <f t="shared" si="2"/>
        <v>1205</v>
      </c>
    </row>
    <row r="626" ht="15.75" customHeight="1">
      <c r="A626" s="388">
        <v>1205.5</v>
      </c>
      <c r="B626" s="389">
        <v>2.39513139736E7</v>
      </c>
      <c r="C626" s="389">
        <f t="shared" si="1"/>
        <v>25986313.97</v>
      </c>
      <c r="D626" s="389">
        <v>148937.655636</v>
      </c>
      <c r="E626" s="8">
        <v>622.0</v>
      </c>
      <c r="H626" s="388">
        <f t="shared" si="2"/>
        <v>1205.5</v>
      </c>
    </row>
    <row r="627" ht="15.75" customHeight="1">
      <c r="A627" s="388">
        <v>1206.0</v>
      </c>
      <c r="B627" s="389">
        <v>2.4025868873E7</v>
      </c>
      <c r="C627" s="389">
        <f t="shared" si="1"/>
        <v>26060868.87</v>
      </c>
      <c r="D627" s="389">
        <v>149292.453401</v>
      </c>
      <c r="E627" s="8">
        <v>623.0</v>
      </c>
      <c r="H627" s="388">
        <f t="shared" si="2"/>
        <v>1206</v>
      </c>
    </row>
    <row r="628" ht="15.75" customHeight="1">
      <c r="A628" s="388">
        <v>1206.5</v>
      </c>
      <c r="B628" s="389">
        <v>2.41006017116E7</v>
      </c>
      <c r="C628" s="389">
        <f t="shared" si="1"/>
        <v>26135601.71</v>
      </c>
      <c r="D628" s="389">
        <v>149631.109825</v>
      </c>
      <c r="E628" s="8">
        <v>624.0</v>
      </c>
      <c r="H628" s="388">
        <f t="shared" si="2"/>
        <v>1206.5</v>
      </c>
    </row>
    <row r="629" ht="15.75" customHeight="1">
      <c r="A629" s="388">
        <v>1207.0</v>
      </c>
      <c r="B629" s="389">
        <v>2.41754873889E7</v>
      </c>
      <c r="C629" s="389">
        <f t="shared" si="1"/>
        <v>26210487.39</v>
      </c>
      <c r="D629" s="389">
        <v>149961.590097</v>
      </c>
      <c r="E629" s="8">
        <v>625.0</v>
      </c>
      <c r="H629" s="388">
        <f t="shared" si="2"/>
        <v>1207</v>
      </c>
    </row>
    <row r="630" ht="15.75" customHeight="1">
      <c r="A630" s="388">
        <v>1207.5</v>
      </c>
      <c r="B630" s="389">
        <v>2.42505610238E7</v>
      </c>
      <c r="C630" s="389">
        <f t="shared" si="1"/>
        <v>26285561.02</v>
      </c>
      <c r="D630" s="389">
        <v>150302.995061</v>
      </c>
      <c r="E630" s="8">
        <v>626.0</v>
      </c>
      <c r="H630" s="388">
        <f t="shared" si="2"/>
        <v>1207.5</v>
      </c>
    </row>
    <row r="631" ht="15.75" customHeight="1">
      <c r="A631" s="388">
        <v>1208.0</v>
      </c>
      <c r="B631" s="389">
        <v>2.43257950973E7</v>
      </c>
      <c r="C631" s="389">
        <f t="shared" si="1"/>
        <v>26360795.1</v>
      </c>
      <c r="D631" s="389">
        <v>150642.933302</v>
      </c>
      <c r="E631" s="8">
        <v>627.0</v>
      </c>
      <c r="H631" s="388">
        <f t="shared" si="2"/>
        <v>1208</v>
      </c>
    </row>
    <row r="632" ht="15.75" customHeight="1">
      <c r="A632" s="388">
        <v>1208.5</v>
      </c>
      <c r="B632" s="389">
        <v>2.4401198678E7</v>
      </c>
      <c r="C632" s="389">
        <f t="shared" si="1"/>
        <v>26436198.68</v>
      </c>
      <c r="D632" s="389">
        <v>150961.188536</v>
      </c>
      <c r="E632" s="8">
        <v>628.0</v>
      </c>
      <c r="H632" s="388">
        <f t="shared" si="2"/>
        <v>1208.5</v>
      </c>
    </row>
    <row r="633" ht="15.75" customHeight="1">
      <c r="A633" s="388">
        <v>1209.0</v>
      </c>
      <c r="B633" s="389">
        <v>2.4476760189E7</v>
      </c>
      <c r="C633" s="389">
        <f t="shared" si="1"/>
        <v>26511760.19</v>
      </c>
      <c r="D633" s="389">
        <v>151297.726552</v>
      </c>
      <c r="E633" s="8">
        <v>629.0</v>
      </c>
      <c r="H633" s="388">
        <f t="shared" si="2"/>
        <v>1209</v>
      </c>
    </row>
    <row r="634" ht="15.75" customHeight="1">
      <c r="A634" s="388">
        <v>1209.5</v>
      </c>
      <c r="B634" s="389">
        <v>2.45524897267E7</v>
      </c>
      <c r="C634" s="389">
        <f t="shared" si="1"/>
        <v>26587489.73</v>
      </c>
      <c r="D634" s="389">
        <v>151609.704197</v>
      </c>
      <c r="E634" s="8">
        <v>630.0</v>
      </c>
      <c r="H634" s="388">
        <f t="shared" si="2"/>
        <v>1209.5</v>
      </c>
    </row>
    <row r="635" ht="15.75" customHeight="1">
      <c r="A635" s="388">
        <v>1210.0</v>
      </c>
      <c r="B635" s="389">
        <v>2.46283751209E7</v>
      </c>
      <c r="C635" s="389">
        <f t="shared" si="1"/>
        <v>26663375.12</v>
      </c>
      <c r="D635" s="389">
        <v>151940.854659</v>
      </c>
      <c r="E635" s="8">
        <v>631.0</v>
      </c>
      <c r="H635" s="388">
        <f t="shared" si="2"/>
        <v>1210</v>
      </c>
    </row>
    <row r="636" ht="15.75" customHeight="1">
      <c r="A636" s="388">
        <v>1210.5</v>
      </c>
      <c r="B636" s="389">
        <v>2.47044110353E7</v>
      </c>
      <c r="C636" s="389">
        <f t="shared" si="1"/>
        <v>26739411.04</v>
      </c>
      <c r="D636" s="389">
        <v>152254.15213</v>
      </c>
      <c r="E636" s="8">
        <v>632.0</v>
      </c>
      <c r="H636" s="388">
        <f t="shared" si="2"/>
        <v>1210.5</v>
      </c>
    </row>
    <row r="637" ht="15.75" customHeight="1">
      <c r="A637" s="388">
        <v>1211.0</v>
      </c>
      <c r="B637" s="389">
        <v>2.47806173303E7</v>
      </c>
      <c r="C637" s="389">
        <f t="shared" si="1"/>
        <v>26815617.33</v>
      </c>
      <c r="D637" s="389">
        <v>152579.702668</v>
      </c>
      <c r="E637" s="8">
        <v>633.0</v>
      </c>
      <c r="H637" s="388">
        <f t="shared" si="2"/>
        <v>1211</v>
      </c>
    </row>
    <row r="638" ht="15.75" customHeight="1">
      <c r="A638" s="388">
        <v>1211.5</v>
      </c>
      <c r="B638" s="389">
        <v>2.48569857013E7</v>
      </c>
      <c r="C638" s="389">
        <f t="shared" si="1"/>
        <v>26891985.7</v>
      </c>
      <c r="D638" s="389">
        <v>152883.614673</v>
      </c>
      <c r="E638" s="8">
        <v>634.0</v>
      </c>
      <c r="H638" s="388">
        <f t="shared" si="2"/>
        <v>1211.5</v>
      </c>
    </row>
    <row r="639" ht="15.75" customHeight="1">
      <c r="A639" s="388">
        <v>1212.0</v>
      </c>
      <c r="B639" s="389">
        <v>2.49335043131E7</v>
      </c>
      <c r="C639" s="389">
        <f t="shared" si="1"/>
        <v>26968504.31</v>
      </c>
      <c r="D639" s="389">
        <v>153196.46788</v>
      </c>
      <c r="E639" s="8">
        <v>635.0</v>
      </c>
      <c r="H639" s="388">
        <f t="shared" si="2"/>
        <v>1212</v>
      </c>
    </row>
    <row r="640" ht="15.75" customHeight="1">
      <c r="A640" s="388">
        <v>1212.5</v>
      </c>
      <c r="B640" s="389">
        <v>2.5010178227E7</v>
      </c>
      <c r="C640" s="389">
        <f t="shared" si="1"/>
        <v>27045178.23</v>
      </c>
      <c r="D640" s="389">
        <v>153489.530561</v>
      </c>
      <c r="E640" s="8">
        <v>636.0</v>
      </c>
      <c r="H640" s="388">
        <f t="shared" si="2"/>
        <v>1212.5</v>
      </c>
    </row>
    <row r="641" ht="15.75" customHeight="1">
      <c r="A641" s="388">
        <v>1213.0</v>
      </c>
      <c r="B641" s="389">
        <v>2.50869981238E7</v>
      </c>
      <c r="C641" s="389">
        <f t="shared" si="1"/>
        <v>27121998.12</v>
      </c>
      <c r="D641" s="389">
        <v>153793.125087</v>
      </c>
      <c r="E641" s="8">
        <v>637.0</v>
      </c>
      <c r="H641" s="388">
        <f t="shared" si="2"/>
        <v>1213</v>
      </c>
    </row>
    <row r="642" ht="15.75" customHeight="1">
      <c r="A642" s="388">
        <v>1213.5</v>
      </c>
      <c r="B642" s="389">
        <v>2.51639540925E7</v>
      </c>
      <c r="C642" s="389">
        <f t="shared" si="1"/>
        <v>27198954.09</v>
      </c>
      <c r="D642" s="389">
        <v>154082.108879</v>
      </c>
      <c r="E642" s="8">
        <v>638.0</v>
      </c>
      <c r="H642" s="388">
        <f t="shared" si="2"/>
        <v>1213.5</v>
      </c>
    </row>
    <row r="643" ht="15.75" customHeight="1">
      <c r="A643" s="388">
        <v>1214.0</v>
      </c>
      <c r="B643" s="389">
        <v>2.52410702899E7</v>
      </c>
      <c r="C643" s="389">
        <f t="shared" si="1"/>
        <v>27276070.29</v>
      </c>
      <c r="D643" s="389">
        <v>154385.310621</v>
      </c>
      <c r="E643" s="8">
        <v>639.0</v>
      </c>
      <c r="H643" s="388">
        <f t="shared" si="2"/>
        <v>1214</v>
      </c>
    </row>
    <row r="644" ht="15.75" customHeight="1">
      <c r="A644" s="388">
        <v>1214.5</v>
      </c>
      <c r="B644" s="389">
        <v>2.53183370445E7</v>
      </c>
      <c r="C644" s="389">
        <f t="shared" si="1"/>
        <v>27353337.04</v>
      </c>
      <c r="D644" s="389">
        <v>154672.072025</v>
      </c>
      <c r="E644" s="8">
        <v>640.0</v>
      </c>
      <c r="H644" s="388">
        <f t="shared" si="2"/>
        <v>1214.5</v>
      </c>
    </row>
    <row r="645" ht="15.75" customHeight="1">
      <c r="A645" s="388">
        <v>1215.0</v>
      </c>
      <c r="B645" s="389">
        <v>2.53957471699E7</v>
      </c>
      <c r="C645" s="389">
        <f t="shared" si="1"/>
        <v>27430747.17</v>
      </c>
      <c r="D645" s="389">
        <v>154967.790239</v>
      </c>
      <c r="E645" s="8">
        <v>641.0</v>
      </c>
      <c r="H645" s="388">
        <f t="shared" si="2"/>
        <v>1215</v>
      </c>
    </row>
    <row r="646" ht="15.75" customHeight="1">
      <c r="A646" s="388">
        <v>1215.5</v>
      </c>
      <c r="B646" s="389">
        <v>2.54733021825E7</v>
      </c>
      <c r="C646" s="389">
        <f t="shared" si="1"/>
        <v>27508302.18</v>
      </c>
      <c r="D646" s="389">
        <v>155241.257073</v>
      </c>
      <c r="E646" s="8">
        <v>642.0</v>
      </c>
      <c r="H646" s="388">
        <f t="shared" si="2"/>
        <v>1215.5</v>
      </c>
    </row>
    <row r="647" ht="15.75" customHeight="1">
      <c r="A647" s="388">
        <v>1216.0</v>
      </c>
      <c r="B647" s="389">
        <v>2.55509919003E7</v>
      </c>
      <c r="C647" s="389">
        <f t="shared" si="1"/>
        <v>27585991.9</v>
      </c>
      <c r="D647" s="389">
        <v>155517.106307</v>
      </c>
      <c r="E647" s="8">
        <v>643.0</v>
      </c>
      <c r="H647" s="388">
        <f t="shared" si="2"/>
        <v>1216</v>
      </c>
    </row>
    <row r="648" ht="15.75" customHeight="1">
      <c r="A648" s="388">
        <v>1216.5</v>
      </c>
      <c r="B648" s="389">
        <v>2.56288194636E7</v>
      </c>
      <c r="C648" s="389">
        <f t="shared" si="1"/>
        <v>27663819.46</v>
      </c>
      <c r="D648" s="389">
        <v>155782.472579</v>
      </c>
      <c r="E648" s="8">
        <v>644.0</v>
      </c>
      <c r="H648" s="388">
        <f t="shared" si="2"/>
        <v>1216.5</v>
      </c>
    </row>
    <row r="649" ht="15.75" customHeight="1">
      <c r="A649" s="388">
        <v>1217.0</v>
      </c>
      <c r="B649" s="389">
        <v>2.57067635984E7</v>
      </c>
      <c r="C649" s="389">
        <f t="shared" si="1"/>
        <v>27741763.6</v>
      </c>
      <c r="D649" s="389">
        <v>156056.573085</v>
      </c>
      <c r="E649" s="8">
        <v>645.0</v>
      </c>
      <c r="H649" s="388">
        <f t="shared" si="2"/>
        <v>1217</v>
      </c>
    </row>
    <row r="650" ht="15.75" customHeight="1">
      <c r="A650" s="388">
        <v>1217.5</v>
      </c>
      <c r="B650" s="389">
        <v>2.57848602749E7</v>
      </c>
      <c r="C650" s="389">
        <f t="shared" si="1"/>
        <v>27819860.27</v>
      </c>
      <c r="D650" s="389">
        <v>156321.022238</v>
      </c>
      <c r="E650" s="8">
        <v>646.0</v>
      </c>
      <c r="H650" s="388">
        <f t="shared" si="2"/>
        <v>1217.5</v>
      </c>
    </row>
    <row r="651" ht="15.75" customHeight="1">
      <c r="A651" s="388">
        <v>1218.0</v>
      </c>
      <c r="B651" s="389">
        <v>2.58630899534E7</v>
      </c>
      <c r="C651" s="389">
        <f t="shared" si="1"/>
        <v>27898089.95</v>
      </c>
      <c r="D651" s="389">
        <v>156597.729648</v>
      </c>
      <c r="E651" s="8">
        <v>647.0</v>
      </c>
      <c r="H651" s="388">
        <f t="shared" si="2"/>
        <v>1218</v>
      </c>
    </row>
    <row r="652" ht="15.75" customHeight="1">
      <c r="A652" s="388">
        <v>1218.5</v>
      </c>
      <c r="B652" s="389">
        <v>2.59414580968E7</v>
      </c>
      <c r="C652" s="389">
        <f t="shared" si="1"/>
        <v>27976458.1</v>
      </c>
      <c r="D652" s="389">
        <v>156865.599843</v>
      </c>
      <c r="E652" s="8">
        <v>648.0</v>
      </c>
      <c r="H652" s="388">
        <f t="shared" si="2"/>
        <v>1218.5</v>
      </c>
    </row>
    <row r="653" ht="15.75" customHeight="1">
      <c r="A653" s="388">
        <v>1219.0</v>
      </c>
      <c r="B653" s="389">
        <v>2.60199601525E7</v>
      </c>
      <c r="C653" s="389">
        <f t="shared" si="1"/>
        <v>28054960.15</v>
      </c>
      <c r="D653" s="389">
        <v>157142.038163</v>
      </c>
      <c r="E653" s="8">
        <v>649.0</v>
      </c>
      <c r="H653" s="388">
        <f t="shared" si="2"/>
        <v>1219</v>
      </c>
    </row>
    <row r="654" ht="15.75" customHeight="1">
      <c r="A654" s="388">
        <v>1219.5</v>
      </c>
      <c r="B654" s="389">
        <v>2.60986011374E7</v>
      </c>
      <c r="C654" s="389">
        <f t="shared" si="1"/>
        <v>28133601.14</v>
      </c>
      <c r="D654" s="389">
        <v>157411.955916</v>
      </c>
      <c r="E654" s="8">
        <v>650.0</v>
      </c>
      <c r="H654" s="388">
        <f t="shared" si="2"/>
        <v>1219.5</v>
      </c>
    </row>
    <row r="655" ht="15.75" customHeight="1">
      <c r="A655" s="388">
        <v>1220.0</v>
      </c>
      <c r="B655" s="389">
        <v>2.61773613303E7</v>
      </c>
      <c r="C655" s="389">
        <f t="shared" si="1"/>
        <v>28212361.33</v>
      </c>
      <c r="D655" s="389">
        <v>157682.938543</v>
      </c>
      <c r="E655" s="8">
        <v>651.0</v>
      </c>
      <c r="H655" s="388">
        <f t="shared" si="2"/>
        <v>1220</v>
      </c>
    </row>
    <row r="656" ht="15.75" customHeight="1">
      <c r="A656" s="388">
        <v>1220.5</v>
      </c>
      <c r="B656" s="389">
        <v>2.62562797349E7</v>
      </c>
      <c r="C656" s="389">
        <f t="shared" si="1"/>
        <v>28291279.73</v>
      </c>
      <c r="D656" s="389">
        <v>157972.240937</v>
      </c>
      <c r="E656" s="8">
        <v>652.0</v>
      </c>
      <c r="H656" s="388">
        <f t="shared" si="2"/>
        <v>1220.5</v>
      </c>
    </row>
    <row r="657" ht="15.75" customHeight="1">
      <c r="A657" s="388">
        <v>1221.0</v>
      </c>
      <c r="B657" s="389">
        <v>2.63353384489E7</v>
      </c>
      <c r="C657" s="389">
        <f t="shared" si="1"/>
        <v>28370338.45</v>
      </c>
      <c r="D657" s="389">
        <v>158262.419409</v>
      </c>
      <c r="E657" s="8">
        <v>653.0</v>
      </c>
      <c r="H657" s="388">
        <f t="shared" si="2"/>
        <v>1221</v>
      </c>
    </row>
    <row r="658" ht="15.75" customHeight="1">
      <c r="A658" s="388">
        <v>1221.5</v>
      </c>
      <c r="B658" s="389">
        <v>2.64145426614E7</v>
      </c>
      <c r="C658" s="389">
        <f t="shared" si="1"/>
        <v>28449542.66</v>
      </c>
      <c r="D658" s="389">
        <v>158545.36328</v>
      </c>
      <c r="E658" s="8">
        <v>654.0</v>
      </c>
      <c r="H658" s="388">
        <f t="shared" si="2"/>
        <v>1221.5</v>
      </c>
    </row>
    <row r="659" ht="15.75" customHeight="1">
      <c r="A659" s="388">
        <v>1222.0</v>
      </c>
      <c r="B659" s="389">
        <v>2.64938918762E7</v>
      </c>
      <c r="C659" s="389">
        <f t="shared" si="1"/>
        <v>28528891.88</v>
      </c>
      <c r="D659" s="389">
        <v>158853.27848</v>
      </c>
      <c r="E659" s="8">
        <v>655.0</v>
      </c>
      <c r="H659" s="388">
        <f t="shared" si="2"/>
        <v>1222</v>
      </c>
    </row>
    <row r="660" ht="15.75" customHeight="1">
      <c r="A660" s="388">
        <v>1222.5</v>
      </c>
      <c r="B660" s="389">
        <v>2.65733966897E7</v>
      </c>
      <c r="C660" s="389">
        <f t="shared" si="1"/>
        <v>28608396.69</v>
      </c>
      <c r="D660" s="389">
        <v>159156.668647</v>
      </c>
      <c r="E660" s="8">
        <v>656.0</v>
      </c>
      <c r="H660" s="388">
        <f t="shared" si="2"/>
        <v>1222.5</v>
      </c>
    </row>
    <row r="661" ht="15.75" customHeight="1">
      <c r="A661" s="388">
        <v>1223.0</v>
      </c>
      <c r="B661" s="389">
        <v>2.66530377258E7</v>
      </c>
      <c r="C661" s="389">
        <f t="shared" si="1"/>
        <v>28688037.73</v>
      </c>
      <c r="D661" s="389">
        <v>159461.084987</v>
      </c>
      <c r="E661" s="8">
        <v>657.0</v>
      </c>
      <c r="H661" s="388">
        <f t="shared" si="2"/>
        <v>1223</v>
      </c>
    </row>
    <row r="662" ht="15.75" customHeight="1">
      <c r="A662" s="388">
        <v>1223.5</v>
      </c>
      <c r="B662" s="389">
        <v>2.67328516098E7</v>
      </c>
      <c r="C662" s="389">
        <f t="shared" si="1"/>
        <v>28767851.61</v>
      </c>
      <c r="D662" s="389">
        <v>159773.799954</v>
      </c>
      <c r="E662" s="8">
        <v>658.0</v>
      </c>
      <c r="H662" s="388">
        <f t="shared" si="2"/>
        <v>1223.5</v>
      </c>
    </row>
    <row r="663" ht="15.75" customHeight="1">
      <c r="A663" s="388">
        <v>1224.0</v>
      </c>
      <c r="B663" s="389">
        <v>2.68128158418E7</v>
      </c>
      <c r="C663" s="389">
        <f t="shared" si="1"/>
        <v>28847815.84</v>
      </c>
      <c r="D663" s="389">
        <v>160079.090975</v>
      </c>
      <c r="E663" s="8">
        <v>659.0</v>
      </c>
      <c r="H663" s="388">
        <f t="shared" si="2"/>
        <v>1224</v>
      </c>
    </row>
    <row r="664" ht="15.75" customHeight="1">
      <c r="A664" s="388">
        <v>1224.5</v>
      </c>
      <c r="B664" s="389">
        <v>2.68929301094E7</v>
      </c>
      <c r="C664" s="389">
        <f t="shared" si="1"/>
        <v>28927930.11</v>
      </c>
      <c r="D664" s="389">
        <v>160367.378501</v>
      </c>
      <c r="E664" s="8">
        <v>660.0</v>
      </c>
      <c r="H664" s="388">
        <f t="shared" si="2"/>
        <v>1224.5</v>
      </c>
    </row>
    <row r="665" ht="15.75" customHeight="1">
      <c r="A665" s="388">
        <v>1225.0</v>
      </c>
      <c r="B665" s="389">
        <v>2.69731866508E7</v>
      </c>
      <c r="C665" s="389">
        <f t="shared" si="1"/>
        <v>29008186.65</v>
      </c>
      <c r="D665" s="389">
        <v>160654.956177</v>
      </c>
      <c r="E665" s="8">
        <v>661.0</v>
      </c>
      <c r="H665" s="388">
        <f t="shared" si="2"/>
        <v>1225</v>
      </c>
    </row>
    <row r="666" ht="15.75" customHeight="1">
      <c r="A666" s="388">
        <v>1225.5</v>
      </c>
      <c r="B666" s="389">
        <v>2.70535859796E7</v>
      </c>
      <c r="C666" s="389">
        <f t="shared" si="1"/>
        <v>29088585.98</v>
      </c>
      <c r="D666" s="389">
        <v>160931.243981</v>
      </c>
      <c r="E666" s="8">
        <v>662.0</v>
      </c>
      <c r="H666" s="388">
        <f t="shared" si="2"/>
        <v>1225.5</v>
      </c>
    </row>
    <row r="667" ht="15.75" customHeight="1">
      <c r="A667" s="388">
        <v>1226.0</v>
      </c>
      <c r="B667" s="389">
        <v>2.71341235506E7</v>
      </c>
      <c r="C667" s="389">
        <f t="shared" si="1"/>
        <v>29169123.55</v>
      </c>
      <c r="D667" s="389">
        <v>161217.73053</v>
      </c>
      <c r="E667" s="8">
        <v>663.0</v>
      </c>
      <c r="H667" s="388">
        <f t="shared" si="2"/>
        <v>1226</v>
      </c>
    </row>
    <row r="668" ht="15.75" customHeight="1">
      <c r="A668" s="388">
        <v>1226.5</v>
      </c>
      <c r="B668" s="389">
        <v>2.72147875045E7</v>
      </c>
      <c r="C668" s="389">
        <f t="shared" si="1"/>
        <v>29249787.5</v>
      </c>
      <c r="D668" s="389">
        <v>161493.20363</v>
      </c>
      <c r="E668" s="8">
        <v>664.0</v>
      </c>
      <c r="H668" s="388">
        <f t="shared" si="2"/>
        <v>1226.5</v>
      </c>
    </row>
    <row r="669" ht="15.75" customHeight="1">
      <c r="A669" s="388">
        <v>1227.0</v>
      </c>
      <c r="B669" s="389">
        <v>2.72956059036E7</v>
      </c>
      <c r="C669" s="389">
        <f t="shared" si="1"/>
        <v>29330605.9</v>
      </c>
      <c r="D669" s="389">
        <v>161777.4101</v>
      </c>
      <c r="E669" s="8">
        <v>665.0</v>
      </c>
      <c r="H669" s="388">
        <f t="shared" si="2"/>
        <v>1227</v>
      </c>
    </row>
    <row r="670" ht="15.75" customHeight="1">
      <c r="A670" s="388">
        <v>1227.5</v>
      </c>
      <c r="B670" s="389">
        <v>2.73765657136E7</v>
      </c>
      <c r="C670" s="389">
        <f t="shared" si="1"/>
        <v>29411565.71</v>
      </c>
      <c r="D670" s="389">
        <v>162052.72404</v>
      </c>
      <c r="E670" s="8">
        <v>666.0</v>
      </c>
      <c r="H670" s="388">
        <f t="shared" si="2"/>
        <v>1227.5</v>
      </c>
    </row>
    <row r="671" ht="15.75" customHeight="1">
      <c r="A671" s="388">
        <v>1228.0</v>
      </c>
      <c r="B671" s="389">
        <v>2.74576644102E7</v>
      </c>
      <c r="C671" s="389">
        <f t="shared" si="1"/>
        <v>29492664.41</v>
      </c>
      <c r="D671" s="389">
        <v>162341.394039</v>
      </c>
      <c r="E671" s="8">
        <v>667.0</v>
      </c>
      <c r="H671" s="388">
        <f t="shared" si="2"/>
        <v>1228</v>
      </c>
    </row>
    <row r="672" ht="15.75" customHeight="1">
      <c r="A672" s="388">
        <v>1228.5</v>
      </c>
      <c r="B672" s="389">
        <v>2.75389086495E7</v>
      </c>
      <c r="C672" s="389">
        <f t="shared" si="1"/>
        <v>29573908.65</v>
      </c>
      <c r="D672" s="389">
        <v>162624.468344</v>
      </c>
      <c r="E672" s="8">
        <v>668.0</v>
      </c>
      <c r="H672" s="388">
        <f t="shared" si="2"/>
        <v>1228.5</v>
      </c>
    </row>
    <row r="673" ht="15.75" customHeight="1">
      <c r="A673" s="388">
        <v>1229.0</v>
      </c>
      <c r="B673" s="389">
        <v>2.76202941238E7</v>
      </c>
      <c r="C673" s="389">
        <f t="shared" si="1"/>
        <v>29655294.12</v>
      </c>
      <c r="D673" s="389">
        <v>162915.787638</v>
      </c>
      <c r="E673" s="8">
        <v>669.0</v>
      </c>
      <c r="H673" s="388">
        <f t="shared" si="2"/>
        <v>1229</v>
      </c>
    </row>
    <row r="674" ht="15.75" customHeight="1">
      <c r="A674" s="388">
        <v>1229.5</v>
      </c>
      <c r="B674" s="389">
        <v>2.77018103005E7</v>
      </c>
      <c r="C674" s="389">
        <f t="shared" si="1"/>
        <v>29736810.3</v>
      </c>
      <c r="D674" s="389">
        <v>163204.877389</v>
      </c>
      <c r="E674" s="8">
        <v>670.0</v>
      </c>
      <c r="H674" s="388">
        <f t="shared" si="2"/>
        <v>1229.5</v>
      </c>
    </row>
    <row r="675" ht="15.75" customHeight="1">
      <c r="A675" s="388">
        <v>1230.0</v>
      </c>
      <c r="B675" s="389">
        <v>2.77834882871E7</v>
      </c>
      <c r="C675" s="389">
        <f t="shared" si="1"/>
        <v>29818488.29</v>
      </c>
      <c r="D675" s="389">
        <v>163503.986947</v>
      </c>
      <c r="E675" s="8">
        <v>671.0</v>
      </c>
      <c r="H675" s="388">
        <f t="shared" si="2"/>
        <v>1230</v>
      </c>
    </row>
    <row r="676" ht="15.75" customHeight="1">
      <c r="A676" s="388">
        <v>1250.0</v>
      </c>
      <c r="B676" s="389">
        <v>3.0809525E7</v>
      </c>
      <c r="C676" s="389">
        <f t="shared" si="1"/>
        <v>32844525</v>
      </c>
      <c r="D676" s="389">
        <v>175800.0</v>
      </c>
      <c r="E676" s="8">
        <v>672.0</v>
      </c>
      <c r="H676" s="388">
        <f t="shared" si="2"/>
        <v>1250</v>
      </c>
    </row>
    <row r="677" ht="15.75" customHeight="1">
      <c r="A677" s="388"/>
      <c r="B677" s="389"/>
      <c r="C677" s="389"/>
      <c r="D677" s="389"/>
      <c r="E677" s="8"/>
    </row>
    <row r="678" ht="15.75" customHeight="1">
      <c r="A678" s="388"/>
      <c r="B678" s="389"/>
      <c r="C678" s="389"/>
      <c r="D678" s="389"/>
      <c r="E678" s="8"/>
    </row>
    <row r="679" ht="15.75" customHeight="1">
      <c r="A679" s="388"/>
      <c r="B679" s="389"/>
      <c r="C679" s="389"/>
      <c r="D679" s="389"/>
      <c r="E679" s="8"/>
    </row>
    <row r="680" ht="15.75" customHeight="1">
      <c r="A680" s="388"/>
      <c r="B680" s="389"/>
      <c r="C680" s="389"/>
      <c r="E680" s="8"/>
    </row>
    <row r="681" ht="15.75" customHeight="1">
      <c r="A681" s="388"/>
      <c r="B681" s="389"/>
      <c r="C681" s="389"/>
      <c r="E681" s="8"/>
    </row>
    <row r="682" ht="15.75" customHeight="1">
      <c r="A682" s="388"/>
      <c r="B682" s="389"/>
      <c r="C682" s="389"/>
      <c r="E682" s="8"/>
    </row>
    <row r="683" ht="15.75" customHeight="1">
      <c r="A683" s="388"/>
      <c r="B683" s="389"/>
      <c r="C683" s="389"/>
      <c r="E683" s="8"/>
    </row>
    <row r="684" ht="15.75" customHeight="1">
      <c r="A684" s="388"/>
      <c r="B684" s="389"/>
      <c r="C684" s="389"/>
      <c r="E684" s="8"/>
    </row>
    <row r="685" ht="15.75" customHeight="1">
      <c r="A685" s="388"/>
      <c r="B685" s="389"/>
      <c r="C685" s="389"/>
      <c r="E685" s="8"/>
    </row>
    <row r="686" ht="15.75" customHeight="1">
      <c r="A686" s="388"/>
      <c r="B686" s="389"/>
      <c r="C686" s="389"/>
      <c r="E686" s="8"/>
    </row>
    <row r="687" ht="15.75" customHeight="1">
      <c r="A687" s="388"/>
      <c r="B687" s="389"/>
      <c r="C687" s="389"/>
      <c r="E687" s="8"/>
    </row>
    <row r="688" ht="15.75" customHeight="1">
      <c r="A688" s="388"/>
      <c r="B688" s="389"/>
      <c r="C688" s="389"/>
      <c r="E688" s="8"/>
    </row>
    <row r="689" ht="15.75" customHeight="1">
      <c r="A689" s="388"/>
      <c r="B689" s="389"/>
      <c r="C689" s="389"/>
      <c r="E689" s="8"/>
    </row>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3.71"/>
    <col customWidth="1" min="4" max="4" width="46.43"/>
    <col customWidth="1" min="5" max="26" width="8.86"/>
  </cols>
  <sheetData>
    <row r="1">
      <c r="A1" s="56" t="s">
        <v>404</v>
      </c>
      <c r="B1" s="56"/>
      <c r="C1" s="56"/>
      <c r="D1" s="56"/>
    </row>
    <row r="2">
      <c r="A2" s="56"/>
      <c r="B2" s="56"/>
      <c r="C2" s="56"/>
      <c r="D2" s="56"/>
    </row>
    <row r="3">
      <c r="A3" s="355" t="s">
        <v>405</v>
      </c>
      <c r="B3" s="29"/>
      <c r="C3" s="31"/>
      <c r="D3" s="356" t="s">
        <v>406</v>
      </c>
      <c r="E3" s="11"/>
      <c r="F3" s="11"/>
      <c r="G3" s="11"/>
      <c r="H3" s="11"/>
      <c r="I3" s="11"/>
      <c r="J3" s="11"/>
      <c r="K3" s="11"/>
      <c r="L3" s="11"/>
      <c r="M3" s="11"/>
      <c r="N3" s="11"/>
      <c r="O3" s="11"/>
      <c r="P3" s="11"/>
      <c r="Q3" s="11"/>
      <c r="R3" s="11"/>
      <c r="S3" s="11"/>
      <c r="T3" s="11"/>
      <c r="U3" s="11"/>
      <c r="V3" s="11"/>
      <c r="W3" s="11"/>
      <c r="X3" s="11"/>
      <c r="Y3" s="11"/>
      <c r="Z3" s="11"/>
    </row>
    <row r="4" ht="30.0" customHeight="1">
      <c r="A4" s="357" t="s">
        <v>72</v>
      </c>
      <c r="B4" s="29"/>
      <c r="C4" s="31"/>
      <c r="D4" s="358" t="s">
        <v>407</v>
      </c>
    </row>
    <row r="5">
      <c r="A5" s="359" t="s">
        <v>408</v>
      </c>
      <c r="B5" s="29"/>
      <c r="C5" s="31"/>
      <c r="D5" s="360" t="s">
        <v>409</v>
      </c>
    </row>
    <row r="6" ht="57.0" customHeight="1">
      <c r="A6" s="361" t="s">
        <v>77</v>
      </c>
      <c r="B6" s="29"/>
      <c r="C6" s="31"/>
      <c r="D6" s="362" t="s">
        <v>410</v>
      </c>
    </row>
    <row r="7">
      <c r="A7" s="363" t="s">
        <v>79</v>
      </c>
      <c r="B7" s="29"/>
      <c r="C7" s="31"/>
      <c r="D7" s="364" t="s">
        <v>411</v>
      </c>
    </row>
    <row r="8">
      <c r="A8" s="56"/>
      <c r="B8" s="56"/>
      <c r="C8" s="56"/>
      <c r="D8" s="56"/>
    </row>
    <row r="9">
      <c r="A9" s="56"/>
      <c r="B9" s="56"/>
      <c r="C9" s="56"/>
      <c r="D9" s="56"/>
    </row>
    <row r="10">
      <c r="A10" s="56"/>
      <c r="B10" s="56"/>
      <c r="C10" s="56"/>
      <c r="D10" s="56"/>
    </row>
    <row r="11">
      <c r="A11" s="357" t="s">
        <v>72</v>
      </c>
      <c r="B11" s="29"/>
      <c r="C11" s="31"/>
      <c r="D11" s="56"/>
    </row>
    <row r="12">
      <c r="A12" s="359" t="s">
        <v>325</v>
      </c>
      <c r="B12" s="29"/>
      <c r="C12" s="31"/>
      <c r="D12" s="56"/>
    </row>
    <row r="13">
      <c r="A13" s="361" t="s">
        <v>326</v>
      </c>
      <c r="B13" s="29"/>
      <c r="C13" s="31"/>
      <c r="D13" s="56"/>
    </row>
    <row r="14">
      <c r="A14" s="363" t="s">
        <v>79</v>
      </c>
      <c r="B14" s="29"/>
      <c r="C14" s="31"/>
      <c r="D14" s="56"/>
    </row>
    <row r="15">
      <c r="A15" s="56"/>
      <c r="B15" s="56"/>
      <c r="C15" s="56"/>
      <c r="D15" s="56"/>
    </row>
    <row r="16">
      <c r="A16" s="56"/>
      <c r="B16" s="56"/>
      <c r="C16" s="56"/>
      <c r="D16" s="56"/>
    </row>
    <row r="17">
      <c r="A17" s="56"/>
      <c r="B17" s="56"/>
      <c r="C17" s="56"/>
      <c r="D17" s="56"/>
    </row>
    <row r="18">
      <c r="A18" s="56"/>
      <c r="B18" s="56"/>
      <c r="C18" s="56"/>
      <c r="D18" s="56"/>
    </row>
    <row r="19">
      <c r="A19" s="56"/>
      <c r="B19" s="56"/>
      <c r="C19" s="56"/>
      <c r="D19" s="56"/>
    </row>
    <row r="20">
      <c r="A20" s="56"/>
      <c r="B20" s="56"/>
      <c r="C20" s="56"/>
      <c r="D20" s="56"/>
    </row>
    <row r="21" ht="15.75" customHeight="1">
      <c r="A21" s="56"/>
      <c r="B21" s="56"/>
      <c r="C21" s="56"/>
      <c r="D21" s="56"/>
    </row>
    <row r="22" ht="15.75" customHeight="1">
      <c r="A22" s="56"/>
      <c r="B22" s="56"/>
      <c r="C22" s="56"/>
      <c r="D22" s="56"/>
    </row>
    <row r="23" ht="15.75" customHeight="1">
      <c r="A23" s="56"/>
      <c r="B23" s="56"/>
      <c r="C23" s="56"/>
      <c r="D23" s="56"/>
    </row>
    <row r="24" ht="15.75" customHeight="1">
      <c r="A24" s="56"/>
      <c r="B24" s="56"/>
      <c r="C24" s="56"/>
      <c r="D24" s="56"/>
    </row>
    <row r="25" ht="15.75" customHeight="1">
      <c r="A25" s="56"/>
      <c r="B25" s="56"/>
      <c r="C25" s="56"/>
      <c r="D25" s="56"/>
    </row>
    <row r="26" ht="15.75" customHeight="1">
      <c r="A26" s="56"/>
      <c r="B26" s="56"/>
      <c r="C26" s="56"/>
      <c r="D26" s="56"/>
    </row>
    <row r="27" ht="15.75" customHeight="1">
      <c r="A27" s="56"/>
      <c r="B27" s="56"/>
      <c r="C27" s="56"/>
      <c r="D27" s="56"/>
    </row>
    <row r="28" ht="15.75" customHeight="1">
      <c r="A28" s="56"/>
      <c r="B28" s="56"/>
      <c r="C28" s="56"/>
      <c r="D28" s="56"/>
    </row>
    <row r="29" ht="15.75" customHeight="1">
      <c r="A29" s="56"/>
      <c r="B29" s="56"/>
      <c r="C29" s="56"/>
      <c r="D29" s="56"/>
    </row>
    <row r="30" ht="15.75" customHeight="1">
      <c r="A30" s="56"/>
      <c r="B30" s="56"/>
      <c r="C30" s="56"/>
      <c r="D30" s="56"/>
    </row>
    <row r="31" ht="15.75" customHeight="1">
      <c r="A31" s="56"/>
      <c r="B31" s="56"/>
      <c r="C31" s="56"/>
      <c r="D31" s="56"/>
    </row>
    <row r="32" ht="15.75" customHeight="1">
      <c r="A32" s="56"/>
      <c r="B32" s="56"/>
      <c r="C32" s="56"/>
      <c r="D32" s="56"/>
    </row>
    <row r="33" ht="15.75" customHeight="1">
      <c r="A33" s="56"/>
      <c r="B33" s="56"/>
      <c r="C33" s="56"/>
      <c r="D33" s="56"/>
    </row>
    <row r="34" ht="15.75" customHeight="1">
      <c r="A34" s="56"/>
      <c r="B34" s="56"/>
      <c r="C34" s="56"/>
      <c r="D34" s="56"/>
    </row>
    <row r="35" ht="15.75" customHeight="1">
      <c r="A35" s="56"/>
      <c r="B35" s="56"/>
      <c r="C35" s="56"/>
      <c r="D35" s="56"/>
    </row>
    <row r="36" ht="15.75" customHeight="1">
      <c r="A36" s="56"/>
      <c r="B36" s="56"/>
      <c r="C36" s="56"/>
      <c r="D36" s="56"/>
    </row>
    <row r="37" ht="15.75" customHeight="1">
      <c r="A37" s="56"/>
      <c r="B37" s="56"/>
      <c r="C37" s="56"/>
      <c r="D37" s="56"/>
    </row>
    <row r="38" ht="15.75" customHeight="1">
      <c r="A38" s="56"/>
      <c r="B38" s="56"/>
      <c r="C38" s="56"/>
      <c r="D38" s="56"/>
    </row>
    <row r="39" ht="15.75" customHeight="1">
      <c r="A39" s="56"/>
      <c r="B39" s="56"/>
      <c r="C39" s="56"/>
      <c r="D39" s="56"/>
    </row>
    <row r="40" ht="15.75" customHeight="1">
      <c r="A40" s="56"/>
      <c r="B40" s="56"/>
      <c r="C40" s="56"/>
      <c r="D40" s="56"/>
    </row>
    <row r="41" ht="15.75" customHeight="1">
      <c r="A41" s="56"/>
      <c r="B41" s="56"/>
      <c r="C41" s="56"/>
      <c r="D41" s="56"/>
    </row>
    <row r="42" ht="15.75" customHeight="1">
      <c r="A42" s="56"/>
      <c r="B42" s="56"/>
      <c r="C42" s="56"/>
      <c r="D42" s="56"/>
    </row>
    <row r="43" ht="15.75" customHeight="1">
      <c r="A43" s="56"/>
      <c r="B43" s="56"/>
      <c r="C43" s="56"/>
      <c r="D43" s="56"/>
    </row>
    <row r="44" ht="15.75" customHeight="1">
      <c r="A44" s="56"/>
      <c r="B44" s="56"/>
      <c r="C44" s="56"/>
      <c r="D44" s="56"/>
    </row>
    <row r="45" ht="15.75" customHeight="1">
      <c r="A45" s="56"/>
      <c r="B45" s="56"/>
      <c r="C45" s="56"/>
      <c r="D45" s="56"/>
    </row>
    <row r="46" ht="15.75" customHeight="1">
      <c r="A46" s="56"/>
      <c r="B46" s="56"/>
      <c r="C46" s="56"/>
      <c r="D46" s="56"/>
    </row>
    <row r="47" ht="15.75" customHeight="1">
      <c r="A47" s="56"/>
      <c r="B47" s="56"/>
      <c r="C47" s="56"/>
      <c r="D47" s="56"/>
    </row>
    <row r="48" ht="15.75" customHeight="1">
      <c r="A48" s="56"/>
      <c r="B48" s="56"/>
      <c r="C48" s="56"/>
      <c r="D48" s="56"/>
    </row>
    <row r="49" ht="15.75" customHeight="1">
      <c r="A49" s="56"/>
      <c r="B49" s="56"/>
      <c r="C49" s="56"/>
      <c r="D49" s="56"/>
    </row>
    <row r="50" ht="15.75" customHeight="1">
      <c r="A50" s="56"/>
      <c r="B50" s="56"/>
      <c r="C50" s="56"/>
      <c r="D50" s="56"/>
    </row>
    <row r="51" ht="15.75" customHeight="1">
      <c r="A51" s="56"/>
      <c r="B51" s="56"/>
      <c r="C51" s="56"/>
      <c r="D51" s="56"/>
    </row>
    <row r="52" ht="15.75" customHeight="1">
      <c r="A52" s="56"/>
      <c r="B52" s="56"/>
      <c r="C52" s="56"/>
      <c r="D52" s="56"/>
    </row>
    <row r="53" ht="15.75" customHeight="1">
      <c r="A53" s="56"/>
      <c r="B53" s="56"/>
      <c r="C53" s="56"/>
      <c r="D53" s="56"/>
    </row>
    <row r="54" ht="15.75" customHeight="1">
      <c r="A54" s="56"/>
      <c r="B54" s="56"/>
      <c r="C54" s="56"/>
      <c r="D54" s="56"/>
    </row>
    <row r="55" ht="15.75" customHeight="1">
      <c r="A55" s="56"/>
      <c r="B55" s="56"/>
      <c r="C55" s="56"/>
      <c r="D55" s="56"/>
    </row>
    <row r="56" ht="15.75" customHeight="1">
      <c r="A56" s="56"/>
      <c r="B56" s="56"/>
      <c r="C56" s="56"/>
      <c r="D56" s="56"/>
    </row>
    <row r="57" ht="15.75" customHeight="1">
      <c r="A57" s="56"/>
      <c r="B57" s="56"/>
      <c r="C57" s="56"/>
      <c r="D57" s="56"/>
    </row>
    <row r="58" ht="15.75" customHeight="1">
      <c r="A58" s="56"/>
      <c r="B58" s="56"/>
      <c r="C58" s="56"/>
      <c r="D58" s="56"/>
    </row>
    <row r="59" ht="15.75" customHeight="1">
      <c r="A59" s="56"/>
      <c r="B59" s="56"/>
      <c r="C59" s="56"/>
      <c r="D59" s="56"/>
    </row>
    <row r="60" ht="15.75" customHeight="1">
      <c r="A60" s="56"/>
      <c r="B60" s="56"/>
      <c r="C60" s="56"/>
      <c r="D60" s="56"/>
    </row>
    <row r="61" ht="15.75" customHeight="1">
      <c r="A61" s="56"/>
      <c r="B61" s="56"/>
      <c r="C61" s="56"/>
      <c r="D61" s="56"/>
    </row>
    <row r="62" ht="15.75" customHeight="1">
      <c r="A62" s="56"/>
      <c r="B62" s="56"/>
      <c r="C62" s="56"/>
      <c r="D62" s="56"/>
    </row>
    <row r="63" ht="15.75" customHeight="1">
      <c r="A63" s="56"/>
      <c r="B63" s="56"/>
      <c r="C63" s="56"/>
      <c r="D63" s="56"/>
    </row>
    <row r="64" ht="15.75" customHeight="1">
      <c r="A64" s="56"/>
      <c r="B64" s="56"/>
      <c r="C64" s="56"/>
      <c r="D64" s="56"/>
    </row>
    <row r="65" ht="15.75" customHeight="1">
      <c r="A65" s="56"/>
      <c r="B65" s="56"/>
      <c r="C65" s="56"/>
      <c r="D65" s="56"/>
    </row>
    <row r="66" ht="15.75" customHeight="1">
      <c r="A66" s="56"/>
      <c r="B66" s="56"/>
      <c r="C66" s="56"/>
      <c r="D66" s="56"/>
    </row>
    <row r="67" ht="15.75" customHeight="1">
      <c r="A67" s="56"/>
      <c r="B67" s="56"/>
      <c r="C67" s="56"/>
      <c r="D67" s="56"/>
    </row>
    <row r="68" ht="15.75" customHeight="1">
      <c r="A68" s="56"/>
      <c r="B68" s="56"/>
      <c r="C68" s="56"/>
      <c r="D68" s="56"/>
    </row>
    <row r="69" ht="15.75" customHeight="1">
      <c r="A69" s="56"/>
      <c r="B69" s="56"/>
      <c r="C69" s="56"/>
      <c r="D69" s="56"/>
    </row>
    <row r="70" ht="15.75" customHeight="1">
      <c r="A70" s="56"/>
      <c r="B70" s="56"/>
      <c r="C70" s="56"/>
      <c r="D70" s="56"/>
    </row>
    <row r="71" ht="15.75" customHeight="1">
      <c r="A71" s="56"/>
      <c r="B71" s="56"/>
      <c r="C71" s="56"/>
      <c r="D71" s="56"/>
    </row>
    <row r="72" ht="15.75" customHeight="1">
      <c r="A72" s="56"/>
      <c r="B72" s="56"/>
      <c r="C72" s="56"/>
      <c r="D72" s="56"/>
    </row>
    <row r="73" ht="15.75" customHeight="1">
      <c r="A73" s="56"/>
      <c r="B73" s="56"/>
      <c r="C73" s="56"/>
      <c r="D73" s="56"/>
    </row>
    <row r="74" ht="15.75" customHeight="1">
      <c r="A74" s="56"/>
      <c r="B74" s="56"/>
      <c r="C74" s="56"/>
      <c r="D74" s="56"/>
    </row>
    <row r="75" ht="15.75" customHeight="1">
      <c r="A75" s="56"/>
      <c r="B75" s="56"/>
      <c r="C75" s="56"/>
      <c r="D75" s="56"/>
    </row>
    <row r="76" ht="15.75" customHeight="1">
      <c r="A76" s="56"/>
      <c r="B76" s="56"/>
      <c r="C76" s="56"/>
      <c r="D76" s="56"/>
    </row>
    <row r="77" ht="15.75" customHeight="1">
      <c r="A77" s="56"/>
      <c r="B77" s="56"/>
      <c r="C77" s="56"/>
      <c r="D77" s="56"/>
    </row>
    <row r="78" ht="15.75" customHeight="1">
      <c r="A78" s="56"/>
      <c r="B78" s="56"/>
      <c r="C78" s="56"/>
      <c r="D78" s="56"/>
    </row>
    <row r="79" ht="15.75" customHeight="1">
      <c r="A79" s="56"/>
      <c r="B79" s="56"/>
      <c r="C79" s="56"/>
      <c r="D79" s="56"/>
    </row>
    <row r="80" ht="15.75" customHeight="1">
      <c r="A80" s="56"/>
      <c r="B80" s="56"/>
      <c r="C80" s="56"/>
      <c r="D80" s="56"/>
    </row>
    <row r="81" ht="15.75" customHeight="1">
      <c r="A81" s="56"/>
      <c r="B81" s="56"/>
      <c r="C81" s="56"/>
      <c r="D81" s="56"/>
    </row>
    <row r="82" ht="15.75" customHeight="1">
      <c r="A82" s="56"/>
      <c r="B82" s="56"/>
      <c r="C82" s="56"/>
      <c r="D82" s="56"/>
    </row>
    <row r="83" ht="15.75" customHeight="1">
      <c r="A83" s="56"/>
      <c r="B83" s="56"/>
      <c r="C83" s="56"/>
      <c r="D83" s="56"/>
    </row>
    <row r="84" ht="15.75" customHeight="1">
      <c r="A84" s="56"/>
      <c r="B84" s="56"/>
      <c r="C84" s="56"/>
      <c r="D84" s="56"/>
    </row>
    <row r="85" ht="15.75" customHeight="1">
      <c r="A85" s="56"/>
      <c r="B85" s="56"/>
      <c r="C85" s="56"/>
      <c r="D85" s="56"/>
    </row>
    <row r="86" ht="15.75" customHeight="1">
      <c r="A86" s="56"/>
      <c r="B86" s="56"/>
      <c r="C86" s="56"/>
      <c r="D86" s="56"/>
    </row>
    <row r="87" ht="15.75" customHeight="1">
      <c r="A87" s="56"/>
      <c r="B87" s="56"/>
      <c r="C87" s="56"/>
      <c r="D87" s="56"/>
    </row>
    <row r="88" ht="15.75" customHeight="1">
      <c r="A88" s="56"/>
      <c r="B88" s="56"/>
      <c r="C88" s="56"/>
      <c r="D88" s="56"/>
    </row>
    <row r="89" ht="15.75" customHeight="1">
      <c r="A89" s="56"/>
      <c r="B89" s="56"/>
      <c r="C89" s="56"/>
      <c r="D89" s="56"/>
    </row>
    <row r="90" ht="15.75" customHeight="1">
      <c r="A90" s="56"/>
      <c r="B90" s="56"/>
      <c r="C90" s="56"/>
      <c r="D90" s="56"/>
    </row>
    <row r="91" ht="15.75" customHeight="1">
      <c r="A91" s="56"/>
      <c r="B91" s="56"/>
      <c r="C91" s="56"/>
      <c r="D91" s="56"/>
    </row>
    <row r="92" ht="15.75" customHeight="1">
      <c r="A92" s="56"/>
      <c r="B92" s="56"/>
      <c r="C92" s="56"/>
      <c r="D92" s="56"/>
    </row>
    <row r="93" ht="15.75" customHeight="1">
      <c r="A93" s="56"/>
      <c r="B93" s="56"/>
      <c r="C93" s="56"/>
      <c r="D93" s="56"/>
    </row>
    <row r="94" ht="15.75" customHeight="1">
      <c r="A94" s="56"/>
      <c r="B94" s="56"/>
      <c r="C94" s="56"/>
      <c r="D94" s="56"/>
    </row>
    <row r="95" ht="15.75" customHeight="1">
      <c r="A95" s="56"/>
      <c r="B95" s="56"/>
      <c r="C95" s="56"/>
      <c r="D95" s="56"/>
    </row>
    <row r="96" ht="15.75" customHeight="1">
      <c r="A96" s="56"/>
      <c r="B96" s="56"/>
      <c r="C96" s="56"/>
      <c r="D96" s="56"/>
    </row>
    <row r="97" ht="15.75" customHeight="1">
      <c r="A97" s="56"/>
      <c r="B97" s="56"/>
      <c r="C97" s="56"/>
      <c r="D97" s="56"/>
    </row>
    <row r="98" ht="15.75" customHeight="1">
      <c r="A98" s="56"/>
      <c r="B98" s="56"/>
      <c r="C98" s="56"/>
      <c r="D98" s="56"/>
    </row>
    <row r="99" ht="15.75" customHeight="1">
      <c r="A99" s="56"/>
      <c r="B99" s="56"/>
      <c r="C99" s="56"/>
      <c r="D99" s="56"/>
    </row>
    <row r="100" ht="15.75" customHeight="1">
      <c r="A100" s="56"/>
      <c r="B100" s="56"/>
      <c r="C100" s="56"/>
      <c r="D100" s="56"/>
    </row>
    <row r="101" ht="15.75" customHeight="1">
      <c r="A101" s="56"/>
      <c r="B101" s="56"/>
      <c r="C101" s="56"/>
      <c r="D101" s="56"/>
    </row>
    <row r="102" ht="15.75" customHeight="1">
      <c r="A102" s="56"/>
      <c r="B102" s="56"/>
      <c r="C102" s="56"/>
      <c r="D102" s="56"/>
    </row>
    <row r="103" ht="15.75" customHeight="1">
      <c r="A103" s="56"/>
      <c r="B103" s="56"/>
      <c r="C103" s="56"/>
      <c r="D103" s="56"/>
    </row>
    <row r="104" ht="15.75" customHeight="1">
      <c r="A104" s="56"/>
      <c r="B104" s="56"/>
      <c r="C104" s="56"/>
      <c r="D104" s="56"/>
    </row>
    <row r="105" ht="15.75" customHeight="1">
      <c r="A105" s="56"/>
      <c r="B105" s="56"/>
      <c r="C105" s="56"/>
      <c r="D105" s="56"/>
    </row>
    <row r="106" ht="15.75" customHeight="1">
      <c r="A106" s="56"/>
      <c r="B106" s="56"/>
      <c r="C106" s="56"/>
      <c r="D106" s="56"/>
    </row>
    <row r="107" ht="15.75" customHeight="1">
      <c r="A107" s="56"/>
      <c r="B107" s="56"/>
      <c r="C107" s="56"/>
      <c r="D107" s="56"/>
    </row>
    <row r="108" ht="15.75" customHeight="1">
      <c r="A108" s="56"/>
      <c r="B108" s="56"/>
      <c r="C108" s="56"/>
      <c r="D108" s="56"/>
    </row>
    <row r="109" ht="15.75" customHeight="1">
      <c r="A109" s="56"/>
      <c r="B109" s="56"/>
      <c r="C109" s="56"/>
      <c r="D109" s="56"/>
    </row>
    <row r="110" ht="15.75" customHeight="1">
      <c r="A110" s="56"/>
      <c r="B110" s="56"/>
      <c r="C110" s="56"/>
      <c r="D110" s="56"/>
    </row>
    <row r="111" ht="15.75" customHeight="1">
      <c r="A111" s="56"/>
      <c r="B111" s="56"/>
      <c r="C111" s="56"/>
      <c r="D111" s="56"/>
    </row>
    <row r="112" ht="15.75" customHeight="1">
      <c r="A112" s="56"/>
      <c r="B112" s="56"/>
      <c r="C112" s="56"/>
      <c r="D112" s="56"/>
    </row>
    <row r="113" ht="15.75" customHeight="1">
      <c r="A113" s="56"/>
      <c r="B113" s="56"/>
      <c r="C113" s="56"/>
      <c r="D113" s="56"/>
    </row>
    <row r="114" ht="15.75" customHeight="1">
      <c r="A114" s="56"/>
      <c r="B114" s="56"/>
      <c r="C114" s="56"/>
      <c r="D114" s="56"/>
    </row>
    <row r="115" ht="15.75" customHeight="1">
      <c r="A115" s="56"/>
      <c r="B115" s="56"/>
      <c r="C115" s="56"/>
      <c r="D115" s="56"/>
    </row>
    <row r="116" ht="15.75" customHeight="1">
      <c r="A116" s="56"/>
      <c r="B116" s="56"/>
      <c r="C116" s="56"/>
      <c r="D116" s="56"/>
    </row>
    <row r="117" ht="15.75" customHeight="1">
      <c r="A117" s="56"/>
      <c r="B117" s="56"/>
      <c r="C117" s="56"/>
      <c r="D117" s="56"/>
    </row>
    <row r="118" ht="15.75" customHeight="1">
      <c r="A118" s="56"/>
      <c r="B118" s="56"/>
      <c r="C118" s="56"/>
      <c r="D118" s="56"/>
    </row>
    <row r="119" ht="15.75" customHeight="1">
      <c r="A119" s="56"/>
      <c r="B119" s="56"/>
      <c r="C119" s="56"/>
      <c r="D119" s="56"/>
    </row>
    <row r="120" ht="15.75" customHeight="1">
      <c r="A120" s="56"/>
      <c r="B120" s="56"/>
      <c r="C120" s="56"/>
      <c r="D120" s="56"/>
    </row>
    <row r="121" ht="15.75" customHeight="1">
      <c r="A121" s="56"/>
      <c r="B121" s="56"/>
      <c r="C121" s="56"/>
      <c r="D121" s="56"/>
    </row>
    <row r="122" ht="15.75" customHeight="1">
      <c r="A122" s="56"/>
      <c r="B122" s="56"/>
      <c r="C122" s="56"/>
      <c r="D122" s="56"/>
    </row>
    <row r="123" ht="15.75" customHeight="1">
      <c r="A123" s="56"/>
      <c r="B123" s="56"/>
      <c r="C123" s="56"/>
      <c r="D123" s="56"/>
    </row>
    <row r="124" ht="15.75" customHeight="1">
      <c r="A124" s="56"/>
      <c r="B124" s="56"/>
      <c r="C124" s="56"/>
      <c r="D124" s="56"/>
    </row>
    <row r="125" ht="15.75" customHeight="1">
      <c r="A125" s="56"/>
      <c r="B125" s="56"/>
      <c r="C125" s="56"/>
      <c r="D125" s="56"/>
    </row>
    <row r="126" ht="15.75" customHeight="1">
      <c r="A126" s="56"/>
      <c r="B126" s="56"/>
      <c r="C126" s="56"/>
      <c r="D126" s="56"/>
    </row>
    <row r="127" ht="15.75" customHeight="1">
      <c r="A127" s="56"/>
      <c r="B127" s="56"/>
      <c r="C127" s="56"/>
      <c r="D127" s="56"/>
    </row>
    <row r="128" ht="15.75" customHeight="1">
      <c r="A128" s="56"/>
      <c r="B128" s="56"/>
      <c r="C128" s="56"/>
      <c r="D128" s="56"/>
    </row>
    <row r="129" ht="15.75" customHeight="1">
      <c r="A129" s="56"/>
      <c r="B129" s="56"/>
      <c r="C129" s="56"/>
      <c r="D129" s="56"/>
    </row>
    <row r="130" ht="15.75" customHeight="1">
      <c r="A130" s="56"/>
      <c r="B130" s="56"/>
      <c r="C130" s="56"/>
      <c r="D130" s="56"/>
    </row>
    <row r="131" ht="15.75" customHeight="1">
      <c r="A131" s="56"/>
      <c r="B131" s="56"/>
      <c r="C131" s="56"/>
      <c r="D131" s="56"/>
    </row>
    <row r="132" ht="15.75" customHeight="1">
      <c r="A132" s="56"/>
      <c r="B132" s="56"/>
      <c r="C132" s="56"/>
      <c r="D132" s="56"/>
    </row>
    <row r="133" ht="15.75" customHeight="1">
      <c r="A133" s="56"/>
      <c r="B133" s="56"/>
      <c r="C133" s="56"/>
      <c r="D133" s="56"/>
    </row>
    <row r="134" ht="15.75" customHeight="1">
      <c r="A134" s="56"/>
      <c r="B134" s="56"/>
      <c r="C134" s="56"/>
      <c r="D134" s="56"/>
    </row>
    <row r="135" ht="15.75" customHeight="1">
      <c r="A135" s="56"/>
      <c r="B135" s="56"/>
      <c r="C135" s="56"/>
      <c r="D135" s="56"/>
    </row>
    <row r="136" ht="15.75" customHeight="1">
      <c r="A136" s="56"/>
      <c r="B136" s="56"/>
      <c r="C136" s="56"/>
      <c r="D136" s="56"/>
    </row>
    <row r="137" ht="15.75" customHeight="1">
      <c r="A137" s="56"/>
      <c r="B137" s="56"/>
      <c r="C137" s="56"/>
      <c r="D137" s="56"/>
    </row>
    <row r="138" ht="15.75" customHeight="1">
      <c r="A138" s="56"/>
      <c r="B138" s="56"/>
      <c r="C138" s="56"/>
      <c r="D138" s="56"/>
    </row>
    <row r="139" ht="15.75" customHeight="1">
      <c r="A139" s="56"/>
      <c r="B139" s="56"/>
      <c r="C139" s="56"/>
      <c r="D139" s="56"/>
    </row>
    <row r="140" ht="15.75" customHeight="1">
      <c r="A140" s="56"/>
      <c r="B140" s="56"/>
      <c r="C140" s="56"/>
      <c r="D140" s="56"/>
    </row>
    <row r="141" ht="15.75" customHeight="1">
      <c r="A141" s="56"/>
      <c r="B141" s="56"/>
      <c r="C141" s="56"/>
      <c r="D141" s="56"/>
    </row>
    <row r="142" ht="15.75" customHeight="1">
      <c r="A142" s="56"/>
      <c r="B142" s="56"/>
      <c r="C142" s="56"/>
      <c r="D142" s="56"/>
    </row>
    <row r="143" ht="15.75" customHeight="1">
      <c r="A143" s="56"/>
      <c r="B143" s="56"/>
      <c r="C143" s="56"/>
      <c r="D143" s="56"/>
    </row>
    <row r="144" ht="15.75" customHeight="1">
      <c r="A144" s="56"/>
      <c r="B144" s="56"/>
      <c r="C144" s="56"/>
      <c r="D144" s="56"/>
    </row>
    <row r="145" ht="15.75" customHeight="1">
      <c r="A145" s="56"/>
      <c r="B145" s="56"/>
      <c r="C145" s="56"/>
      <c r="D145" s="56"/>
    </row>
    <row r="146" ht="15.75" customHeight="1">
      <c r="A146" s="56"/>
      <c r="B146" s="56"/>
      <c r="C146" s="56"/>
      <c r="D146" s="56"/>
    </row>
    <row r="147" ht="15.75" customHeight="1">
      <c r="A147" s="56"/>
      <c r="B147" s="56"/>
      <c r="C147" s="56"/>
      <c r="D147" s="56"/>
    </row>
    <row r="148" ht="15.75" customHeight="1">
      <c r="A148" s="56"/>
      <c r="B148" s="56"/>
      <c r="C148" s="56"/>
      <c r="D148" s="56"/>
    </row>
    <row r="149" ht="15.75" customHeight="1">
      <c r="A149" s="56"/>
      <c r="B149" s="56"/>
      <c r="C149" s="56"/>
      <c r="D149" s="56"/>
    </row>
    <row r="150" ht="15.75" customHeight="1">
      <c r="A150" s="56"/>
      <c r="B150" s="56"/>
      <c r="C150" s="56"/>
      <c r="D150" s="56"/>
    </row>
    <row r="151" ht="15.75" customHeight="1">
      <c r="A151" s="56"/>
      <c r="B151" s="56"/>
      <c r="C151" s="56"/>
      <c r="D151" s="56"/>
    </row>
    <row r="152" ht="15.75" customHeight="1">
      <c r="A152" s="56"/>
      <c r="B152" s="56"/>
      <c r="C152" s="56"/>
      <c r="D152" s="56"/>
    </row>
    <row r="153" ht="15.75" customHeight="1">
      <c r="A153" s="56"/>
      <c r="B153" s="56"/>
      <c r="C153" s="56"/>
      <c r="D153" s="56"/>
    </row>
    <row r="154" ht="15.75" customHeight="1">
      <c r="A154" s="56"/>
      <c r="B154" s="56"/>
      <c r="C154" s="56"/>
      <c r="D154" s="56"/>
    </row>
    <row r="155" ht="15.75" customHeight="1">
      <c r="A155" s="56"/>
      <c r="B155" s="56"/>
      <c r="C155" s="56"/>
      <c r="D155" s="56"/>
    </row>
    <row r="156" ht="15.75" customHeight="1">
      <c r="A156" s="56"/>
      <c r="B156" s="56"/>
      <c r="C156" s="56"/>
      <c r="D156" s="56"/>
    </row>
    <row r="157" ht="15.75" customHeight="1">
      <c r="A157" s="56"/>
      <c r="B157" s="56"/>
      <c r="C157" s="56"/>
      <c r="D157" s="56"/>
    </row>
    <row r="158" ht="15.75" customHeight="1">
      <c r="A158" s="56"/>
      <c r="B158" s="56"/>
      <c r="C158" s="56"/>
      <c r="D158" s="56"/>
    </row>
    <row r="159" ht="15.75" customHeight="1">
      <c r="A159" s="56"/>
      <c r="B159" s="56"/>
      <c r="C159" s="56"/>
      <c r="D159" s="56"/>
    </row>
    <row r="160" ht="15.75" customHeight="1">
      <c r="A160" s="56"/>
      <c r="B160" s="56"/>
      <c r="C160" s="56"/>
      <c r="D160" s="56"/>
    </row>
    <row r="161" ht="15.75" customHeight="1">
      <c r="A161" s="56"/>
      <c r="B161" s="56"/>
      <c r="C161" s="56"/>
      <c r="D161" s="56"/>
    </row>
    <row r="162" ht="15.75" customHeight="1">
      <c r="A162" s="56"/>
      <c r="B162" s="56"/>
      <c r="C162" s="56"/>
      <c r="D162" s="56"/>
    </row>
    <row r="163" ht="15.75" customHeight="1">
      <c r="A163" s="56"/>
      <c r="B163" s="56"/>
      <c r="C163" s="56"/>
      <c r="D163" s="56"/>
    </row>
    <row r="164" ht="15.75" customHeight="1">
      <c r="A164" s="56"/>
      <c r="B164" s="56"/>
      <c r="C164" s="56"/>
      <c r="D164" s="56"/>
    </row>
    <row r="165" ht="15.75" customHeight="1">
      <c r="A165" s="56"/>
      <c r="B165" s="56"/>
      <c r="C165" s="56"/>
      <c r="D165" s="56"/>
    </row>
    <row r="166" ht="15.75" customHeight="1">
      <c r="A166" s="56"/>
      <c r="B166" s="56"/>
      <c r="C166" s="56"/>
      <c r="D166" s="56"/>
    </row>
    <row r="167" ht="15.75" customHeight="1">
      <c r="A167" s="56"/>
      <c r="B167" s="56"/>
      <c r="C167" s="56"/>
      <c r="D167" s="56"/>
    </row>
    <row r="168" ht="15.75" customHeight="1">
      <c r="A168" s="56"/>
      <c r="B168" s="56"/>
      <c r="C168" s="56"/>
      <c r="D168" s="56"/>
    </row>
    <row r="169" ht="15.75" customHeight="1">
      <c r="A169" s="56"/>
      <c r="B169" s="56"/>
      <c r="C169" s="56"/>
      <c r="D169" s="56"/>
    </row>
    <row r="170" ht="15.75" customHeight="1">
      <c r="A170" s="56"/>
      <c r="B170" s="56"/>
      <c r="C170" s="56"/>
      <c r="D170" s="56"/>
    </row>
    <row r="171" ht="15.75" customHeight="1">
      <c r="A171" s="56"/>
      <c r="B171" s="56"/>
      <c r="C171" s="56"/>
      <c r="D171" s="56"/>
    </row>
    <row r="172" ht="15.75" customHeight="1">
      <c r="A172" s="56"/>
      <c r="B172" s="56"/>
      <c r="C172" s="56"/>
      <c r="D172" s="56"/>
    </row>
    <row r="173" ht="15.75" customHeight="1">
      <c r="A173" s="56"/>
      <c r="B173" s="56"/>
      <c r="C173" s="56"/>
      <c r="D173" s="56"/>
    </row>
    <row r="174" ht="15.75" customHeight="1">
      <c r="A174" s="56"/>
      <c r="B174" s="56"/>
      <c r="C174" s="56"/>
      <c r="D174" s="56"/>
    </row>
    <row r="175" ht="15.75" customHeight="1">
      <c r="A175" s="56"/>
      <c r="B175" s="56"/>
      <c r="C175" s="56"/>
      <c r="D175" s="56"/>
    </row>
    <row r="176" ht="15.75" customHeight="1">
      <c r="A176" s="56"/>
      <c r="B176" s="56"/>
      <c r="C176" s="56"/>
      <c r="D176" s="56"/>
    </row>
    <row r="177" ht="15.75" customHeight="1">
      <c r="A177" s="56"/>
      <c r="B177" s="56"/>
      <c r="C177" s="56"/>
      <c r="D177" s="56"/>
    </row>
    <row r="178" ht="15.75" customHeight="1">
      <c r="A178" s="56"/>
      <c r="B178" s="56"/>
      <c r="C178" s="56"/>
      <c r="D178" s="56"/>
    </row>
    <row r="179" ht="15.75" customHeight="1">
      <c r="A179" s="56"/>
      <c r="B179" s="56"/>
      <c r="C179" s="56"/>
      <c r="D179" s="56"/>
    </row>
    <row r="180" ht="15.75" customHeight="1">
      <c r="A180" s="56"/>
      <c r="B180" s="56"/>
      <c r="C180" s="56"/>
      <c r="D180" s="56"/>
    </row>
    <row r="181" ht="15.75" customHeight="1">
      <c r="A181" s="56"/>
      <c r="B181" s="56"/>
      <c r="C181" s="56"/>
      <c r="D181" s="56"/>
    </row>
    <row r="182" ht="15.75" customHeight="1">
      <c r="A182" s="56"/>
      <c r="B182" s="56"/>
      <c r="C182" s="56"/>
      <c r="D182" s="56"/>
    </row>
    <row r="183" ht="15.75" customHeight="1">
      <c r="A183" s="56"/>
      <c r="B183" s="56"/>
      <c r="C183" s="56"/>
      <c r="D183" s="56"/>
    </row>
    <row r="184" ht="15.75" customHeight="1">
      <c r="A184" s="56"/>
      <c r="B184" s="56"/>
      <c r="C184" s="56"/>
      <c r="D184" s="56"/>
    </row>
    <row r="185" ht="15.75" customHeight="1">
      <c r="A185" s="56"/>
      <c r="B185" s="56"/>
      <c r="C185" s="56"/>
      <c r="D185" s="56"/>
    </row>
    <row r="186" ht="15.75" customHeight="1">
      <c r="A186" s="56"/>
      <c r="B186" s="56"/>
      <c r="C186" s="56"/>
      <c r="D186" s="56"/>
    </row>
    <row r="187" ht="15.75" customHeight="1">
      <c r="A187" s="56"/>
      <c r="B187" s="56"/>
      <c r="C187" s="56"/>
      <c r="D187" s="56"/>
    </row>
    <row r="188" ht="15.75" customHeight="1">
      <c r="A188" s="56"/>
      <c r="B188" s="56"/>
      <c r="C188" s="56"/>
      <c r="D188" s="56"/>
    </row>
    <row r="189" ht="15.75" customHeight="1">
      <c r="A189" s="56"/>
      <c r="B189" s="56"/>
      <c r="C189" s="56"/>
      <c r="D189" s="56"/>
    </row>
    <row r="190" ht="15.75" customHeight="1">
      <c r="A190" s="56"/>
      <c r="B190" s="56"/>
      <c r="C190" s="56"/>
      <c r="D190" s="56"/>
    </row>
    <row r="191" ht="15.75" customHeight="1">
      <c r="A191" s="56"/>
      <c r="B191" s="56"/>
      <c r="C191" s="56"/>
      <c r="D191" s="56"/>
    </row>
    <row r="192" ht="15.75" customHeight="1">
      <c r="A192" s="56"/>
      <c r="B192" s="56"/>
      <c r="C192" s="56"/>
      <c r="D192" s="56"/>
    </row>
    <row r="193" ht="15.75" customHeight="1">
      <c r="A193" s="56"/>
      <c r="B193" s="56"/>
      <c r="C193" s="56"/>
      <c r="D193" s="56"/>
    </row>
    <row r="194" ht="15.75" customHeight="1">
      <c r="A194" s="56"/>
      <c r="B194" s="56"/>
      <c r="C194" s="56"/>
      <c r="D194" s="56"/>
    </row>
    <row r="195" ht="15.75" customHeight="1">
      <c r="A195" s="56"/>
      <c r="B195" s="56"/>
      <c r="C195" s="56"/>
      <c r="D195" s="56"/>
    </row>
    <row r="196" ht="15.75" customHeight="1">
      <c r="A196" s="56"/>
      <c r="B196" s="56"/>
      <c r="C196" s="56"/>
      <c r="D196" s="56"/>
    </row>
    <row r="197" ht="15.75" customHeight="1">
      <c r="A197" s="56"/>
      <c r="B197" s="56"/>
      <c r="C197" s="56"/>
      <c r="D197" s="56"/>
    </row>
    <row r="198" ht="15.75" customHeight="1">
      <c r="A198" s="56"/>
      <c r="B198" s="56"/>
      <c r="C198" s="56"/>
      <c r="D198" s="56"/>
    </row>
    <row r="199" ht="15.75" customHeight="1">
      <c r="A199" s="56"/>
      <c r="B199" s="56"/>
      <c r="C199" s="56"/>
      <c r="D199" s="56"/>
    </row>
    <row r="200" ht="15.75" customHeight="1">
      <c r="A200" s="56"/>
      <c r="B200" s="56"/>
      <c r="C200" s="56"/>
      <c r="D200" s="56"/>
    </row>
    <row r="201" ht="15.75" customHeight="1">
      <c r="A201" s="56"/>
      <c r="B201" s="56"/>
      <c r="C201" s="56"/>
      <c r="D201" s="56"/>
    </row>
    <row r="202" ht="15.75" customHeight="1">
      <c r="A202" s="56"/>
      <c r="B202" s="56"/>
      <c r="C202" s="56"/>
      <c r="D202" s="56"/>
    </row>
    <row r="203" ht="15.75" customHeight="1">
      <c r="A203" s="56"/>
      <c r="B203" s="56"/>
      <c r="C203" s="56"/>
      <c r="D203" s="56"/>
    </row>
    <row r="204" ht="15.75" customHeight="1">
      <c r="A204" s="56"/>
      <c r="B204" s="56"/>
      <c r="C204" s="56"/>
      <c r="D204" s="56"/>
    </row>
    <row r="205" ht="15.75" customHeight="1">
      <c r="A205" s="56"/>
      <c r="B205" s="56"/>
      <c r="C205" s="56"/>
      <c r="D205" s="56"/>
    </row>
    <row r="206" ht="15.75" customHeight="1">
      <c r="A206" s="56"/>
      <c r="B206" s="56"/>
      <c r="C206" s="56"/>
      <c r="D206" s="56"/>
    </row>
    <row r="207" ht="15.75" customHeight="1">
      <c r="A207" s="56"/>
      <c r="B207" s="56"/>
      <c r="C207" s="56"/>
      <c r="D207" s="56"/>
    </row>
    <row r="208" ht="15.75" customHeight="1">
      <c r="A208" s="56"/>
      <c r="B208" s="56"/>
      <c r="C208" s="56"/>
      <c r="D208" s="56"/>
    </row>
    <row r="209" ht="15.75" customHeight="1">
      <c r="A209" s="56"/>
      <c r="B209" s="56"/>
      <c r="C209" s="56"/>
      <c r="D209" s="56"/>
    </row>
    <row r="210" ht="15.75" customHeight="1">
      <c r="A210" s="56"/>
      <c r="B210" s="56"/>
      <c r="C210" s="56"/>
      <c r="D210" s="56"/>
    </row>
    <row r="211" ht="15.75" customHeight="1">
      <c r="A211" s="56"/>
      <c r="B211" s="56"/>
      <c r="C211" s="56"/>
      <c r="D211" s="56"/>
    </row>
    <row r="212" ht="15.75" customHeight="1">
      <c r="A212" s="56"/>
      <c r="B212" s="56"/>
      <c r="C212" s="56"/>
      <c r="D212" s="56"/>
    </row>
    <row r="213" ht="15.75" customHeight="1">
      <c r="A213" s="56"/>
      <c r="B213" s="56"/>
      <c r="C213" s="56"/>
      <c r="D213" s="56"/>
    </row>
    <row r="214" ht="15.75" customHeight="1">
      <c r="A214" s="56"/>
      <c r="B214" s="56"/>
      <c r="C214" s="56"/>
      <c r="D214" s="56"/>
    </row>
    <row r="215" ht="15.75" customHeight="1">
      <c r="A215" s="56"/>
      <c r="B215" s="56"/>
      <c r="C215" s="56"/>
      <c r="D215" s="56"/>
    </row>
    <row r="216" ht="15.75" customHeight="1">
      <c r="A216" s="56"/>
      <c r="B216" s="56"/>
      <c r="C216" s="56"/>
      <c r="D216" s="56"/>
    </row>
    <row r="217" ht="15.75" customHeight="1">
      <c r="A217" s="56"/>
      <c r="B217" s="56"/>
      <c r="C217" s="56"/>
      <c r="D217" s="56"/>
    </row>
    <row r="218" ht="15.75" customHeight="1">
      <c r="A218" s="56"/>
      <c r="B218" s="56"/>
      <c r="C218" s="56"/>
      <c r="D218" s="56"/>
    </row>
    <row r="219" ht="15.75" customHeight="1">
      <c r="A219" s="56"/>
      <c r="B219" s="56"/>
      <c r="C219" s="56"/>
      <c r="D219" s="56"/>
    </row>
    <row r="220" ht="15.75" customHeight="1">
      <c r="A220" s="56"/>
      <c r="B220" s="56"/>
      <c r="C220" s="56"/>
      <c r="D220" s="56"/>
    </row>
    <row r="221" ht="15.75" customHeight="1">
      <c r="A221" s="56"/>
      <c r="B221" s="56"/>
      <c r="C221" s="56"/>
      <c r="D221" s="56"/>
    </row>
    <row r="222" ht="15.75" customHeight="1">
      <c r="A222" s="56"/>
      <c r="B222" s="56"/>
      <c r="C222" s="56"/>
      <c r="D222" s="56"/>
    </row>
    <row r="223" ht="15.75" customHeight="1">
      <c r="A223" s="56"/>
      <c r="B223" s="56"/>
      <c r="C223" s="56"/>
      <c r="D223" s="56"/>
    </row>
    <row r="224" ht="15.75" customHeight="1">
      <c r="A224" s="56"/>
      <c r="B224" s="56"/>
      <c r="C224" s="56"/>
      <c r="D224" s="56"/>
    </row>
    <row r="225" ht="15.75" customHeight="1">
      <c r="A225" s="56"/>
      <c r="B225" s="56"/>
      <c r="C225" s="56"/>
      <c r="D225" s="56"/>
    </row>
    <row r="226" ht="15.75" customHeight="1">
      <c r="A226" s="56"/>
      <c r="B226" s="56"/>
      <c r="C226" s="56"/>
      <c r="D226" s="56"/>
    </row>
    <row r="227" ht="15.75" customHeight="1">
      <c r="A227" s="56"/>
      <c r="B227" s="56"/>
      <c r="C227" s="56"/>
      <c r="D227" s="56"/>
    </row>
    <row r="228" ht="15.75" customHeight="1">
      <c r="A228" s="56"/>
      <c r="B228" s="56"/>
      <c r="C228" s="56"/>
      <c r="D228" s="56"/>
    </row>
    <row r="229" ht="15.75" customHeight="1">
      <c r="A229" s="56"/>
      <c r="B229" s="56"/>
      <c r="C229" s="56"/>
      <c r="D229" s="56"/>
    </row>
    <row r="230" ht="15.75" customHeight="1">
      <c r="A230" s="56"/>
      <c r="B230" s="56"/>
      <c r="C230" s="56"/>
      <c r="D230" s="56"/>
    </row>
    <row r="231" ht="15.75" customHeight="1">
      <c r="A231" s="56"/>
      <c r="B231" s="56"/>
      <c r="C231" s="56"/>
      <c r="D231" s="56"/>
    </row>
    <row r="232" ht="15.75" customHeight="1">
      <c r="A232" s="56"/>
      <c r="B232" s="56"/>
      <c r="C232" s="56"/>
      <c r="D232" s="56"/>
    </row>
    <row r="233" ht="15.75" customHeight="1">
      <c r="A233" s="56"/>
      <c r="B233" s="56"/>
      <c r="C233" s="56"/>
      <c r="D233" s="56"/>
    </row>
    <row r="234" ht="15.75" customHeight="1">
      <c r="A234" s="56"/>
      <c r="B234" s="56"/>
      <c r="C234" s="56"/>
      <c r="D234" s="56"/>
    </row>
    <row r="235" ht="15.75" customHeight="1">
      <c r="A235" s="56"/>
      <c r="B235" s="56"/>
      <c r="C235" s="56"/>
      <c r="D235" s="56"/>
    </row>
    <row r="236" ht="15.75" customHeight="1">
      <c r="A236" s="56"/>
      <c r="B236" s="56"/>
      <c r="C236" s="56"/>
      <c r="D236" s="56"/>
    </row>
    <row r="237" ht="15.75" customHeight="1">
      <c r="A237" s="56"/>
      <c r="B237" s="56"/>
      <c r="C237" s="56"/>
      <c r="D237" s="56"/>
    </row>
    <row r="238" ht="15.75" customHeight="1">
      <c r="A238" s="56"/>
      <c r="B238" s="56"/>
      <c r="C238" s="56"/>
      <c r="D238" s="56"/>
    </row>
    <row r="239" ht="15.75" customHeight="1">
      <c r="A239" s="56"/>
      <c r="B239" s="56"/>
      <c r="C239" s="56"/>
      <c r="D239" s="56"/>
    </row>
    <row r="240" ht="15.75" customHeight="1">
      <c r="A240" s="56"/>
      <c r="B240" s="56"/>
      <c r="C240" s="56"/>
      <c r="D240" s="56"/>
    </row>
    <row r="241" ht="15.75" customHeight="1">
      <c r="A241" s="56"/>
      <c r="B241" s="56"/>
      <c r="C241" s="56"/>
      <c r="D241" s="56"/>
    </row>
    <row r="242" ht="15.75" customHeight="1">
      <c r="A242" s="56"/>
      <c r="B242" s="56"/>
      <c r="C242" s="56"/>
      <c r="D242" s="56"/>
    </row>
    <row r="243" ht="15.75" customHeight="1">
      <c r="A243" s="56"/>
      <c r="B243" s="56"/>
      <c r="C243" s="56"/>
      <c r="D243" s="56"/>
    </row>
    <row r="244" ht="15.75" customHeight="1">
      <c r="A244" s="56"/>
      <c r="B244" s="56"/>
      <c r="C244" s="56"/>
      <c r="D244" s="56"/>
    </row>
    <row r="245" ht="15.75" customHeight="1">
      <c r="A245" s="56"/>
      <c r="B245" s="56"/>
      <c r="C245" s="56"/>
      <c r="D245" s="56"/>
    </row>
    <row r="246" ht="15.75" customHeight="1">
      <c r="A246" s="56"/>
      <c r="B246" s="56"/>
      <c r="C246" s="56"/>
      <c r="D246" s="56"/>
    </row>
    <row r="247" ht="15.75" customHeight="1">
      <c r="A247" s="56"/>
      <c r="B247" s="56"/>
      <c r="C247" s="56"/>
      <c r="D247" s="56"/>
    </row>
    <row r="248" ht="15.75" customHeight="1">
      <c r="A248" s="56"/>
      <c r="B248" s="56"/>
      <c r="C248" s="56"/>
      <c r="D248" s="56"/>
    </row>
    <row r="249" ht="15.75" customHeight="1">
      <c r="A249" s="56"/>
      <c r="B249" s="56"/>
      <c r="C249" s="56"/>
      <c r="D249" s="56"/>
    </row>
    <row r="250" ht="15.75" customHeight="1">
      <c r="A250" s="56"/>
      <c r="B250" s="56"/>
      <c r="C250" s="56"/>
      <c r="D250" s="56"/>
    </row>
    <row r="251" ht="15.75" customHeight="1">
      <c r="A251" s="56"/>
      <c r="B251" s="56"/>
      <c r="C251" s="56"/>
      <c r="D251" s="56"/>
    </row>
    <row r="252" ht="15.75" customHeight="1">
      <c r="A252" s="56"/>
      <c r="B252" s="56"/>
      <c r="C252" s="56"/>
      <c r="D252" s="56"/>
    </row>
    <row r="253" ht="15.75" customHeight="1">
      <c r="A253" s="56"/>
      <c r="B253" s="56"/>
      <c r="C253" s="56"/>
      <c r="D253" s="56"/>
    </row>
    <row r="254" ht="15.75" customHeight="1">
      <c r="A254" s="56"/>
      <c r="B254" s="56"/>
      <c r="C254" s="56"/>
      <c r="D254" s="56"/>
    </row>
    <row r="255" ht="15.75" customHeight="1">
      <c r="A255" s="56"/>
      <c r="B255" s="56"/>
      <c r="C255" s="56"/>
      <c r="D255" s="56"/>
    </row>
    <row r="256" ht="15.75" customHeight="1">
      <c r="A256" s="56"/>
      <c r="B256" s="56"/>
      <c r="C256" s="56"/>
      <c r="D256" s="56"/>
    </row>
    <row r="257" ht="15.75" customHeight="1">
      <c r="A257" s="56"/>
      <c r="B257" s="56"/>
      <c r="C257" s="56"/>
      <c r="D257" s="56"/>
    </row>
    <row r="258" ht="15.75" customHeight="1">
      <c r="A258" s="56"/>
      <c r="B258" s="56"/>
      <c r="C258" s="56"/>
      <c r="D258" s="56"/>
    </row>
    <row r="259" ht="15.75" customHeight="1">
      <c r="A259" s="56"/>
      <c r="B259" s="56"/>
      <c r="C259" s="56"/>
      <c r="D259" s="56"/>
    </row>
    <row r="260" ht="15.75" customHeight="1">
      <c r="A260" s="56"/>
      <c r="B260" s="56"/>
      <c r="C260" s="56"/>
      <c r="D260" s="56"/>
    </row>
    <row r="261" ht="15.75" customHeight="1">
      <c r="A261" s="56"/>
      <c r="B261" s="56"/>
      <c r="C261" s="56"/>
      <c r="D261" s="56"/>
    </row>
    <row r="262" ht="15.75" customHeight="1">
      <c r="A262" s="56"/>
      <c r="B262" s="56"/>
      <c r="C262" s="56"/>
      <c r="D262" s="56"/>
    </row>
    <row r="263" ht="15.75" customHeight="1">
      <c r="A263" s="56"/>
      <c r="B263" s="56"/>
      <c r="C263" s="56"/>
      <c r="D263" s="56"/>
    </row>
    <row r="264" ht="15.75" customHeight="1">
      <c r="A264" s="56"/>
      <c r="B264" s="56"/>
      <c r="C264" s="56"/>
      <c r="D264" s="56"/>
    </row>
    <row r="265" ht="15.75" customHeight="1">
      <c r="A265" s="56"/>
      <c r="B265" s="56"/>
      <c r="C265" s="56"/>
      <c r="D265" s="56"/>
    </row>
    <row r="266" ht="15.75" customHeight="1">
      <c r="A266" s="56"/>
      <c r="B266" s="56"/>
      <c r="C266" s="56"/>
      <c r="D266" s="56"/>
    </row>
    <row r="267" ht="15.75" customHeight="1">
      <c r="A267" s="56"/>
      <c r="B267" s="56"/>
      <c r="C267" s="56"/>
      <c r="D267" s="56"/>
    </row>
    <row r="268" ht="15.75" customHeight="1">
      <c r="A268" s="56"/>
      <c r="B268" s="56"/>
      <c r="C268" s="56"/>
      <c r="D268" s="56"/>
    </row>
    <row r="269" ht="15.75" customHeight="1">
      <c r="A269" s="56"/>
      <c r="B269" s="56"/>
      <c r="C269" s="56"/>
      <c r="D269" s="56"/>
    </row>
    <row r="270" ht="15.75" customHeight="1">
      <c r="A270" s="56"/>
      <c r="B270" s="56"/>
      <c r="C270" s="56"/>
      <c r="D270" s="56"/>
    </row>
    <row r="271" ht="15.75" customHeight="1">
      <c r="A271" s="56"/>
      <c r="B271" s="56"/>
      <c r="C271" s="56"/>
      <c r="D271" s="56"/>
    </row>
    <row r="272" ht="15.75" customHeight="1">
      <c r="A272" s="56"/>
      <c r="B272" s="56"/>
      <c r="C272" s="56"/>
      <c r="D272" s="56"/>
    </row>
    <row r="273" ht="15.75" customHeight="1">
      <c r="A273" s="56"/>
      <c r="B273" s="56"/>
      <c r="C273" s="56"/>
      <c r="D273" s="56"/>
    </row>
    <row r="274" ht="15.75" customHeight="1">
      <c r="A274" s="56"/>
      <c r="B274" s="56"/>
      <c r="C274" s="56"/>
      <c r="D274" s="56"/>
    </row>
    <row r="275" ht="15.75" customHeight="1">
      <c r="A275" s="56"/>
      <c r="B275" s="56"/>
      <c r="C275" s="56"/>
      <c r="D275" s="56"/>
    </row>
    <row r="276" ht="15.75" customHeight="1">
      <c r="A276" s="56"/>
      <c r="B276" s="56"/>
      <c r="C276" s="56"/>
      <c r="D276" s="56"/>
    </row>
    <row r="277" ht="15.75" customHeight="1">
      <c r="A277" s="56"/>
      <c r="B277" s="56"/>
      <c r="C277" s="56"/>
      <c r="D277" s="56"/>
    </row>
    <row r="278" ht="15.75" customHeight="1">
      <c r="A278" s="56"/>
      <c r="B278" s="56"/>
      <c r="C278" s="56"/>
      <c r="D278" s="56"/>
    </row>
    <row r="279" ht="15.75" customHeight="1">
      <c r="A279" s="56"/>
      <c r="B279" s="56"/>
      <c r="C279" s="56"/>
      <c r="D279" s="56"/>
    </row>
    <row r="280" ht="15.75" customHeight="1">
      <c r="A280" s="56"/>
      <c r="B280" s="56"/>
      <c r="C280" s="56"/>
      <c r="D280" s="56"/>
    </row>
    <row r="281" ht="15.75" customHeight="1">
      <c r="A281" s="56"/>
      <c r="B281" s="56"/>
      <c r="C281" s="56"/>
      <c r="D281" s="56"/>
    </row>
    <row r="282" ht="15.75" customHeight="1">
      <c r="A282" s="56"/>
      <c r="B282" s="56"/>
      <c r="C282" s="56"/>
      <c r="D282" s="56"/>
    </row>
    <row r="283" ht="15.75" customHeight="1">
      <c r="A283" s="56"/>
      <c r="B283" s="56"/>
      <c r="C283" s="56"/>
      <c r="D283" s="56"/>
    </row>
    <row r="284" ht="15.75" customHeight="1">
      <c r="A284" s="56"/>
      <c r="B284" s="56"/>
      <c r="C284" s="56"/>
      <c r="D284" s="56"/>
    </row>
    <row r="285" ht="15.75" customHeight="1">
      <c r="A285" s="56"/>
      <c r="B285" s="56"/>
      <c r="C285" s="56"/>
      <c r="D285" s="56"/>
    </row>
    <row r="286" ht="15.75" customHeight="1">
      <c r="A286" s="56"/>
      <c r="B286" s="56"/>
      <c r="C286" s="56"/>
      <c r="D286" s="56"/>
    </row>
    <row r="287" ht="15.75" customHeight="1">
      <c r="A287" s="56"/>
      <c r="B287" s="56"/>
      <c r="C287" s="56"/>
      <c r="D287" s="56"/>
    </row>
    <row r="288" ht="15.75" customHeight="1">
      <c r="A288" s="56"/>
      <c r="B288" s="56"/>
      <c r="C288" s="56"/>
      <c r="D288" s="56"/>
    </row>
    <row r="289" ht="15.75" customHeight="1">
      <c r="A289" s="56"/>
      <c r="B289" s="56"/>
      <c r="C289" s="56"/>
      <c r="D289" s="56"/>
    </row>
    <row r="290" ht="15.75" customHeight="1">
      <c r="A290" s="56"/>
      <c r="B290" s="56"/>
      <c r="C290" s="56"/>
      <c r="D290" s="56"/>
    </row>
    <row r="291" ht="15.75" customHeight="1">
      <c r="A291" s="56"/>
      <c r="B291" s="56"/>
      <c r="C291" s="56"/>
      <c r="D291" s="56"/>
    </row>
    <row r="292" ht="15.75" customHeight="1">
      <c r="A292" s="56"/>
      <c r="B292" s="56"/>
      <c r="C292" s="56"/>
      <c r="D292" s="56"/>
    </row>
    <row r="293" ht="15.75" customHeight="1">
      <c r="A293" s="56"/>
      <c r="B293" s="56"/>
      <c r="C293" s="56"/>
      <c r="D293" s="56"/>
    </row>
    <row r="294" ht="15.75" customHeight="1">
      <c r="A294" s="56"/>
      <c r="B294" s="56"/>
      <c r="C294" s="56"/>
      <c r="D294" s="56"/>
    </row>
    <row r="295" ht="15.75" customHeight="1">
      <c r="A295" s="56"/>
      <c r="B295" s="56"/>
      <c r="C295" s="56"/>
      <c r="D295" s="56"/>
    </row>
    <row r="296" ht="15.75" customHeight="1">
      <c r="A296" s="56"/>
      <c r="B296" s="56"/>
      <c r="C296" s="56"/>
      <c r="D296" s="56"/>
    </row>
    <row r="297" ht="15.75" customHeight="1">
      <c r="A297" s="56"/>
      <c r="B297" s="56"/>
      <c r="C297" s="56"/>
      <c r="D297" s="56"/>
    </row>
    <row r="298" ht="15.75" customHeight="1">
      <c r="A298" s="56"/>
      <c r="B298" s="56"/>
      <c r="C298" s="56"/>
      <c r="D298" s="56"/>
    </row>
    <row r="299" ht="15.75" customHeight="1">
      <c r="A299" s="56"/>
      <c r="B299" s="56"/>
      <c r="C299" s="56"/>
      <c r="D299" s="56"/>
    </row>
    <row r="300" ht="15.75" customHeight="1">
      <c r="A300" s="56"/>
      <c r="B300" s="56"/>
      <c r="C300" s="56"/>
      <c r="D300" s="56"/>
    </row>
    <row r="301" ht="15.75" customHeight="1">
      <c r="A301" s="56"/>
      <c r="B301" s="56"/>
      <c r="C301" s="56"/>
      <c r="D301" s="56"/>
    </row>
    <row r="302" ht="15.75" customHeight="1">
      <c r="A302" s="56"/>
      <c r="B302" s="56"/>
      <c r="C302" s="56"/>
      <c r="D302" s="56"/>
    </row>
    <row r="303" ht="15.75" customHeight="1">
      <c r="A303" s="56"/>
      <c r="B303" s="56"/>
      <c r="C303" s="56"/>
      <c r="D303" s="56"/>
    </row>
    <row r="304" ht="15.75" customHeight="1">
      <c r="A304" s="56"/>
      <c r="B304" s="56"/>
      <c r="C304" s="56"/>
      <c r="D304" s="56"/>
    </row>
    <row r="305" ht="15.75" customHeight="1">
      <c r="A305" s="56"/>
      <c r="B305" s="56"/>
      <c r="C305" s="56"/>
      <c r="D305" s="56"/>
    </row>
    <row r="306" ht="15.75" customHeight="1">
      <c r="A306" s="56"/>
      <c r="B306" s="56"/>
      <c r="C306" s="56"/>
      <c r="D306" s="56"/>
    </row>
    <row r="307" ht="15.75" customHeight="1">
      <c r="A307" s="56"/>
      <c r="B307" s="56"/>
      <c r="C307" s="56"/>
      <c r="D307" s="56"/>
    </row>
    <row r="308" ht="15.75" customHeight="1">
      <c r="A308" s="56"/>
      <c r="B308" s="56"/>
      <c r="C308" s="56"/>
      <c r="D308" s="56"/>
    </row>
    <row r="309" ht="15.75" customHeight="1">
      <c r="A309" s="56"/>
      <c r="B309" s="56"/>
      <c r="C309" s="56"/>
      <c r="D309" s="56"/>
    </row>
    <row r="310" ht="15.75" customHeight="1">
      <c r="A310" s="56"/>
      <c r="B310" s="56"/>
      <c r="C310" s="56"/>
      <c r="D310" s="56"/>
    </row>
    <row r="311" ht="15.75" customHeight="1">
      <c r="A311" s="56"/>
      <c r="B311" s="56"/>
      <c r="C311" s="56"/>
      <c r="D311" s="56"/>
    </row>
    <row r="312" ht="15.75" customHeight="1">
      <c r="A312" s="56"/>
      <c r="B312" s="56"/>
      <c r="C312" s="56"/>
      <c r="D312" s="56"/>
    </row>
    <row r="313" ht="15.75" customHeight="1">
      <c r="A313" s="56"/>
      <c r="B313" s="56"/>
      <c r="C313" s="56"/>
      <c r="D313" s="56"/>
    </row>
    <row r="314" ht="15.75" customHeight="1">
      <c r="A314" s="56"/>
      <c r="B314" s="56"/>
      <c r="C314" s="56"/>
      <c r="D314" s="56"/>
    </row>
    <row r="315" ht="15.75" customHeight="1">
      <c r="A315" s="56"/>
      <c r="B315" s="56"/>
      <c r="C315" s="56"/>
      <c r="D315" s="56"/>
    </row>
    <row r="316" ht="15.75" customHeight="1">
      <c r="A316" s="56"/>
      <c r="B316" s="56"/>
      <c r="C316" s="56"/>
      <c r="D316" s="56"/>
    </row>
    <row r="317" ht="15.75" customHeight="1">
      <c r="A317" s="56"/>
      <c r="B317" s="56"/>
      <c r="C317" s="56"/>
      <c r="D317" s="56"/>
    </row>
    <row r="318" ht="15.75" customHeight="1">
      <c r="A318" s="56"/>
      <c r="B318" s="56"/>
      <c r="C318" s="56"/>
      <c r="D318" s="56"/>
    </row>
    <row r="319" ht="15.75" customHeight="1">
      <c r="A319" s="56"/>
      <c r="B319" s="56"/>
      <c r="C319" s="56"/>
      <c r="D319" s="56"/>
    </row>
    <row r="320" ht="15.75" customHeight="1">
      <c r="A320" s="56"/>
      <c r="B320" s="56"/>
      <c r="C320" s="56"/>
      <c r="D320" s="56"/>
    </row>
    <row r="321" ht="15.75" customHeight="1">
      <c r="A321" s="56"/>
      <c r="B321" s="56"/>
      <c r="C321" s="56"/>
      <c r="D321" s="56"/>
    </row>
    <row r="322" ht="15.75" customHeight="1">
      <c r="A322" s="56"/>
      <c r="B322" s="56"/>
      <c r="C322" s="56"/>
      <c r="D322" s="56"/>
    </row>
    <row r="323" ht="15.75" customHeight="1">
      <c r="A323" s="56"/>
      <c r="B323" s="56"/>
      <c r="C323" s="56"/>
      <c r="D323" s="56"/>
    </row>
    <row r="324" ht="15.75" customHeight="1">
      <c r="A324" s="56"/>
      <c r="B324" s="56"/>
      <c r="C324" s="56"/>
      <c r="D324" s="56"/>
    </row>
    <row r="325" ht="15.75" customHeight="1">
      <c r="A325" s="56"/>
      <c r="B325" s="56"/>
      <c r="C325" s="56"/>
      <c r="D325" s="56"/>
    </row>
    <row r="326" ht="15.75" customHeight="1">
      <c r="A326" s="56"/>
      <c r="B326" s="56"/>
      <c r="C326" s="56"/>
      <c r="D326" s="56"/>
    </row>
    <row r="327" ht="15.75" customHeight="1">
      <c r="A327" s="56"/>
      <c r="B327" s="56"/>
      <c r="C327" s="56"/>
      <c r="D327" s="56"/>
    </row>
    <row r="328" ht="15.75" customHeight="1">
      <c r="A328" s="56"/>
      <c r="B328" s="56"/>
      <c r="C328" s="56"/>
      <c r="D328" s="56"/>
    </row>
    <row r="329" ht="15.75" customHeight="1">
      <c r="A329" s="56"/>
      <c r="B329" s="56"/>
      <c r="C329" s="56"/>
      <c r="D329" s="56"/>
    </row>
    <row r="330" ht="15.75" customHeight="1">
      <c r="A330" s="56"/>
      <c r="B330" s="56"/>
      <c r="C330" s="56"/>
      <c r="D330" s="56"/>
    </row>
    <row r="331" ht="15.75" customHeight="1">
      <c r="A331" s="56"/>
      <c r="B331" s="56"/>
      <c r="C331" s="56"/>
      <c r="D331" s="56"/>
    </row>
    <row r="332" ht="15.75" customHeight="1">
      <c r="A332" s="56"/>
      <c r="B332" s="56"/>
      <c r="C332" s="56"/>
      <c r="D332" s="56"/>
    </row>
    <row r="333" ht="15.75" customHeight="1">
      <c r="A333" s="56"/>
      <c r="B333" s="56"/>
      <c r="C333" s="56"/>
      <c r="D333" s="56"/>
    </row>
    <row r="334" ht="15.75" customHeight="1">
      <c r="A334" s="56"/>
      <c r="B334" s="56"/>
      <c r="C334" s="56"/>
      <c r="D334" s="56"/>
    </row>
    <row r="335" ht="15.75" customHeight="1">
      <c r="A335" s="56"/>
      <c r="B335" s="56"/>
      <c r="C335" s="56"/>
      <c r="D335" s="56"/>
    </row>
    <row r="336" ht="15.75" customHeight="1">
      <c r="A336" s="56"/>
      <c r="B336" s="56"/>
      <c r="C336" s="56"/>
      <c r="D336" s="56"/>
    </row>
    <row r="337" ht="15.75" customHeight="1">
      <c r="A337" s="56"/>
      <c r="B337" s="56"/>
      <c r="C337" s="56"/>
      <c r="D337" s="56"/>
    </row>
    <row r="338" ht="15.75" customHeight="1">
      <c r="A338" s="56"/>
      <c r="B338" s="56"/>
      <c r="C338" s="56"/>
      <c r="D338" s="56"/>
    </row>
    <row r="339" ht="15.75" customHeight="1">
      <c r="A339" s="56"/>
      <c r="B339" s="56"/>
      <c r="C339" s="56"/>
      <c r="D339" s="56"/>
    </row>
    <row r="340" ht="15.75" customHeight="1">
      <c r="A340" s="56"/>
      <c r="B340" s="56"/>
      <c r="C340" s="56"/>
      <c r="D340" s="56"/>
    </row>
    <row r="341" ht="15.75" customHeight="1">
      <c r="A341" s="56"/>
      <c r="B341" s="56"/>
      <c r="C341" s="56"/>
      <c r="D341" s="56"/>
    </row>
    <row r="342" ht="15.75" customHeight="1">
      <c r="A342" s="56"/>
      <c r="B342" s="56"/>
      <c r="C342" s="56"/>
      <c r="D342" s="56"/>
    </row>
    <row r="343" ht="15.75" customHeight="1">
      <c r="A343" s="56"/>
      <c r="B343" s="56"/>
      <c r="C343" s="56"/>
      <c r="D343" s="56"/>
    </row>
    <row r="344" ht="15.75" customHeight="1">
      <c r="A344" s="56"/>
      <c r="B344" s="56"/>
      <c r="C344" s="56"/>
      <c r="D344" s="56"/>
    </row>
    <row r="345" ht="15.75" customHeight="1">
      <c r="A345" s="56"/>
      <c r="B345" s="56"/>
      <c r="C345" s="56"/>
      <c r="D345" s="56"/>
    </row>
    <row r="346" ht="15.75" customHeight="1">
      <c r="A346" s="56"/>
      <c r="B346" s="56"/>
      <c r="C346" s="56"/>
      <c r="D346" s="56"/>
    </row>
    <row r="347" ht="15.75" customHeight="1">
      <c r="A347" s="56"/>
      <c r="B347" s="56"/>
      <c r="C347" s="56"/>
      <c r="D347" s="56"/>
    </row>
    <row r="348" ht="15.75" customHeight="1">
      <c r="A348" s="56"/>
      <c r="B348" s="56"/>
      <c r="C348" s="56"/>
      <c r="D348" s="56"/>
    </row>
    <row r="349" ht="15.75" customHeight="1">
      <c r="A349" s="56"/>
      <c r="B349" s="56"/>
      <c r="C349" s="56"/>
      <c r="D349" s="56"/>
    </row>
    <row r="350" ht="15.75" customHeight="1">
      <c r="A350" s="56"/>
      <c r="B350" s="56"/>
      <c r="C350" s="56"/>
      <c r="D350" s="56"/>
    </row>
    <row r="351" ht="15.75" customHeight="1">
      <c r="A351" s="56"/>
      <c r="B351" s="56"/>
      <c r="C351" s="56"/>
      <c r="D351" s="56"/>
    </row>
    <row r="352" ht="15.75" customHeight="1">
      <c r="A352" s="56"/>
      <c r="B352" s="56"/>
      <c r="C352" s="56"/>
      <c r="D352" s="56"/>
    </row>
    <row r="353" ht="15.75" customHeight="1">
      <c r="A353" s="56"/>
      <c r="B353" s="56"/>
      <c r="C353" s="56"/>
      <c r="D353" s="56"/>
    </row>
    <row r="354" ht="15.75" customHeight="1">
      <c r="A354" s="56"/>
      <c r="B354" s="56"/>
      <c r="C354" s="56"/>
      <c r="D354" s="56"/>
    </row>
    <row r="355" ht="15.75" customHeight="1">
      <c r="A355" s="56"/>
      <c r="B355" s="56"/>
      <c r="C355" s="56"/>
      <c r="D355" s="56"/>
    </row>
    <row r="356" ht="15.75" customHeight="1">
      <c r="A356" s="56"/>
      <c r="B356" s="56"/>
      <c r="C356" s="56"/>
      <c r="D356" s="56"/>
    </row>
    <row r="357" ht="15.75" customHeight="1">
      <c r="A357" s="56"/>
      <c r="B357" s="56"/>
      <c r="C357" s="56"/>
      <c r="D357" s="56"/>
    </row>
    <row r="358" ht="15.75" customHeight="1">
      <c r="A358" s="56"/>
      <c r="B358" s="56"/>
      <c r="C358" s="56"/>
      <c r="D358" s="56"/>
    </row>
    <row r="359" ht="15.75" customHeight="1">
      <c r="A359" s="56"/>
      <c r="B359" s="56"/>
      <c r="C359" s="56"/>
      <c r="D359" s="56"/>
    </row>
    <row r="360" ht="15.75" customHeight="1">
      <c r="A360" s="56"/>
      <c r="B360" s="56"/>
      <c r="C360" s="56"/>
      <c r="D360" s="56"/>
    </row>
    <row r="361" ht="15.75" customHeight="1">
      <c r="A361" s="56"/>
      <c r="B361" s="56"/>
      <c r="C361" s="56"/>
      <c r="D361" s="56"/>
    </row>
    <row r="362" ht="15.75" customHeight="1">
      <c r="A362" s="56"/>
      <c r="B362" s="56"/>
      <c r="C362" s="56"/>
      <c r="D362" s="56"/>
    </row>
    <row r="363" ht="15.75" customHeight="1">
      <c r="A363" s="56"/>
      <c r="B363" s="56"/>
      <c r="C363" s="56"/>
      <c r="D363" s="56"/>
    </row>
    <row r="364" ht="15.75" customHeight="1">
      <c r="A364" s="56"/>
      <c r="B364" s="56"/>
      <c r="C364" s="56"/>
      <c r="D364" s="56"/>
    </row>
    <row r="365" ht="15.75" customHeight="1">
      <c r="A365" s="56"/>
      <c r="B365" s="56"/>
      <c r="C365" s="56"/>
      <c r="D365" s="56"/>
    </row>
    <row r="366" ht="15.75" customHeight="1">
      <c r="A366" s="56"/>
      <c r="B366" s="56"/>
      <c r="C366" s="56"/>
      <c r="D366" s="56"/>
    </row>
    <row r="367" ht="15.75" customHeight="1">
      <c r="A367" s="56"/>
      <c r="B367" s="56"/>
      <c r="C367" s="56"/>
      <c r="D367" s="56"/>
    </row>
    <row r="368" ht="15.75" customHeight="1">
      <c r="A368" s="56"/>
      <c r="B368" s="56"/>
      <c r="C368" s="56"/>
      <c r="D368" s="56"/>
    </row>
    <row r="369" ht="15.75" customHeight="1">
      <c r="A369" s="56"/>
      <c r="B369" s="56"/>
      <c r="C369" s="56"/>
      <c r="D369" s="56"/>
    </row>
    <row r="370" ht="15.75" customHeight="1">
      <c r="A370" s="56"/>
      <c r="B370" s="56"/>
      <c r="C370" s="56"/>
      <c r="D370" s="56"/>
    </row>
    <row r="371" ht="15.75" customHeight="1">
      <c r="A371" s="56"/>
      <c r="B371" s="56"/>
      <c r="C371" s="56"/>
      <c r="D371" s="56"/>
    </row>
    <row r="372" ht="15.75" customHeight="1">
      <c r="A372" s="56"/>
      <c r="B372" s="56"/>
      <c r="C372" s="56"/>
      <c r="D372" s="56"/>
    </row>
    <row r="373" ht="15.75" customHeight="1">
      <c r="A373" s="56"/>
      <c r="B373" s="56"/>
      <c r="C373" s="56"/>
      <c r="D373" s="56"/>
    </row>
    <row r="374" ht="15.75" customHeight="1">
      <c r="A374" s="56"/>
      <c r="B374" s="56"/>
      <c r="C374" s="56"/>
      <c r="D374" s="56"/>
    </row>
    <row r="375" ht="15.75" customHeight="1">
      <c r="A375" s="56"/>
      <c r="B375" s="56"/>
      <c r="C375" s="56"/>
      <c r="D375" s="56"/>
    </row>
    <row r="376" ht="15.75" customHeight="1">
      <c r="A376" s="56"/>
      <c r="B376" s="56"/>
      <c r="C376" s="56"/>
      <c r="D376" s="56"/>
    </row>
    <row r="377" ht="15.75" customHeight="1">
      <c r="A377" s="56"/>
      <c r="B377" s="56"/>
      <c r="C377" s="56"/>
      <c r="D377" s="56"/>
    </row>
    <row r="378" ht="15.75" customHeight="1">
      <c r="A378" s="56"/>
      <c r="B378" s="56"/>
      <c r="C378" s="56"/>
      <c r="D378" s="56"/>
    </row>
    <row r="379" ht="15.75" customHeight="1">
      <c r="A379" s="56"/>
      <c r="B379" s="56"/>
      <c r="C379" s="56"/>
      <c r="D379" s="56"/>
    </row>
    <row r="380" ht="15.75" customHeight="1">
      <c r="A380" s="56"/>
      <c r="B380" s="56"/>
      <c r="C380" s="56"/>
      <c r="D380" s="56"/>
    </row>
    <row r="381" ht="15.75" customHeight="1">
      <c r="A381" s="56"/>
      <c r="B381" s="56"/>
      <c r="C381" s="56"/>
      <c r="D381" s="56"/>
    </row>
    <row r="382" ht="15.75" customHeight="1">
      <c r="A382" s="56"/>
      <c r="B382" s="56"/>
      <c r="C382" s="56"/>
      <c r="D382" s="56"/>
    </row>
    <row r="383" ht="15.75" customHeight="1">
      <c r="A383" s="56"/>
      <c r="B383" s="56"/>
      <c r="C383" s="56"/>
      <c r="D383" s="56"/>
    </row>
    <row r="384" ht="15.75" customHeight="1">
      <c r="A384" s="56"/>
      <c r="B384" s="56"/>
      <c r="C384" s="56"/>
      <c r="D384" s="56"/>
    </row>
    <row r="385" ht="15.75" customHeight="1">
      <c r="A385" s="56"/>
      <c r="B385" s="56"/>
      <c r="C385" s="56"/>
      <c r="D385" s="56"/>
    </row>
    <row r="386" ht="15.75" customHeight="1">
      <c r="A386" s="56"/>
      <c r="B386" s="56"/>
      <c r="C386" s="56"/>
      <c r="D386" s="56"/>
    </row>
    <row r="387" ht="15.75" customHeight="1">
      <c r="A387" s="56"/>
      <c r="B387" s="56"/>
      <c r="C387" s="56"/>
      <c r="D387" s="56"/>
    </row>
    <row r="388" ht="15.75" customHeight="1">
      <c r="A388" s="56"/>
      <c r="B388" s="56"/>
      <c r="C388" s="56"/>
      <c r="D388" s="56"/>
    </row>
    <row r="389" ht="15.75" customHeight="1">
      <c r="A389" s="56"/>
      <c r="B389" s="56"/>
      <c r="C389" s="56"/>
      <c r="D389" s="56"/>
    </row>
    <row r="390" ht="15.75" customHeight="1">
      <c r="A390" s="56"/>
      <c r="B390" s="56"/>
      <c r="C390" s="56"/>
      <c r="D390" s="56"/>
    </row>
    <row r="391" ht="15.75" customHeight="1">
      <c r="A391" s="56"/>
      <c r="B391" s="56"/>
      <c r="C391" s="56"/>
      <c r="D391" s="56"/>
    </row>
    <row r="392" ht="15.75" customHeight="1">
      <c r="A392" s="56"/>
      <c r="B392" s="56"/>
      <c r="C392" s="56"/>
      <c r="D392" s="56"/>
    </row>
    <row r="393" ht="15.75" customHeight="1">
      <c r="A393" s="56"/>
      <c r="B393" s="56"/>
      <c r="C393" s="56"/>
      <c r="D393" s="56"/>
    </row>
    <row r="394" ht="15.75" customHeight="1">
      <c r="A394" s="56"/>
      <c r="B394" s="56"/>
      <c r="C394" s="56"/>
      <c r="D394" s="56"/>
    </row>
    <row r="395" ht="15.75" customHeight="1">
      <c r="A395" s="56"/>
      <c r="B395" s="56"/>
      <c r="C395" s="56"/>
      <c r="D395" s="56"/>
    </row>
    <row r="396" ht="15.75" customHeight="1">
      <c r="A396" s="56"/>
      <c r="B396" s="56"/>
      <c r="C396" s="56"/>
      <c r="D396" s="56"/>
    </row>
    <row r="397" ht="15.75" customHeight="1">
      <c r="A397" s="56"/>
      <c r="B397" s="56"/>
      <c r="C397" s="56"/>
      <c r="D397" s="56"/>
    </row>
    <row r="398" ht="15.75" customHeight="1">
      <c r="A398" s="56"/>
      <c r="B398" s="56"/>
      <c r="C398" s="56"/>
      <c r="D398" s="56"/>
    </row>
    <row r="399" ht="15.75" customHeight="1">
      <c r="A399" s="56"/>
      <c r="B399" s="56"/>
      <c r="C399" s="56"/>
      <c r="D399" s="56"/>
    </row>
    <row r="400" ht="15.75" customHeight="1">
      <c r="A400" s="56"/>
      <c r="B400" s="56"/>
      <c r="C400" s="56"/>
      <c r="D400" s="56"/>
    </row>
    <row r="401" ht="15.75" customHeight="1">
      <c r="A401" s="56"/>
      <c r="B401" s="56"/>
      <c r="C401" s="56"/>
      <c r="D401" s="56"/>
    </row>
    <row r="402" ht="15.75" customHeight="1">
      <c r="A402" s="56"/>
      <c r="B402" s="56"/>
      <c r="C402" s="56"/>
      <c r="D402" s="56"/>
    </row>
    <row r="403" ht="15.75" customHeight="1">
      <c r="A403" s="56"/>
      <c r="B403" s="56"/>
      <c r="C403" s="56"/>
      <c r="D403" s="56"/>
    </row>
    <row r="404" ht="15.75" customHeight="1">
      <c r="A404" s="56"/>
      <c r="B404" s="56"/>
      <c r="C404" s="56"/>
      <c r="D404" s="56"/>
    </row>
    <row r="405" ht="15.75" customHeight="1">
      <c r="A405" s="56"/>
      <c r="B405" s="56"/>
      <c r="C405" s="56"/>
      <c r="D405" s="56"/>
    </row>
    <row r="406" ht="15.75" customHeight="1">
      <c r="A406" s="56"/>
      <c r="B406" s="56"/>
      <c r="C406" s="56"/>
      <c r="D406" s="56"/>
    </row>
    <row r="407" ht="15.75" customHeight="1">
      <c r="A407" s="56"/>
      <c r="B407" s="56"/>
      <c r="C407" s="56"/>
      <c r="D407" s="56"/>
    </row>
    <row r="408" ht="15.75" customHeight="1">
      <c r="A408" s="56"/>
      <c r="B408" s="56"/>
      <c r="C408" s="56"/>
      <c r="D408" s="56"/>
    </row>
    <row r="409" ht="15.75" customHeight="1">
      <c r="A409" s="56"/>
      <c r="B409" s="56"/>
      <c r="C409" s="56"/>
      <c r="D409" s="56"/>
    </row>
    <row r="410" ht="15.75" customHeight="1">
      <c r="A410" s="56"/>
      <c r="B410" s="56"/>
      <c r="C410" s="56"/>
      <c r="D410" s="56"/>
    </row>
    <row r="411" ht="15.75" customHeight="1">
      <c r="A411" s="56"/>
      <c r="B411" s="56"/>
      <c r="C411" s="56"/>
      <c r="D411" s="56"/>
    </row>
    <row r="412" ht="15.75" customHeight="1">
      <c r="A412" s="56"/>
      <c r="B412" s="56"/>
      <c r="C412" s="56"/>
      <c r="D412" s="56"/>
    </row>
    <row r="413" ht="15.75" customHeight="1">
      <c r="A413" s="56"/>
      <c r="B413" s="56"/>
      <c r="C413" s="56"/>
      <c r="D413" s="56"/>
    </row>
    <row r="414" ht="15.75" customHeight="1">
      <c r="A414" s="56"/>
      <c r="B414" s="56"/>
      <c r="C414" s="56"/>
      <c r="D414" s="56"/>
    </row>
    <row r="415" ht="15.75" customHeight="1">
      <c r="A415" s="56"/>
      <c r="B415" s="56"/>
      <c r="C415" s="56"/>
      <c r="D415" s="56"/>
    </row>
    <row r="416" ht="15.75" customHeight="1">
      <c r="A416" s="56"/>
      <c r="B416" s="56"/>
      <c r="C416" s="56"/>
      <c r="D416" s="56"/>
    </row>
    <row r="417" ht="15.75" customHeight="1">
      <c r="A417" s="56"/>
      <c r="B417" s="56"/>
      <c r="C417" s="56"/>
      <c r="D417" s="56"/>
    </row>
    <row r="418" ht="15.75" customHeight="1">
      <c r="A418" s="56"/>
      <c r="B418" s="56"/>
      <c r="C418" s="56"/>
      <c r="D418" s="56"/>
    </row>
    <row r="419" ht="15.75" customHeight="1">
      <c r="A419" s="56"/>
      <c r="B419" s="56"/>
      <c r="C419" s="56"/>
      <c r="D419" s="56"/>
    </row>
    <row r="420" ht="15.75" customHeight="1">
      <c r="A420" s="56"/>
      <c r="B420" s="56"/>
      <c r="C420" s="56"/>
      <c r="D420" s="56"/>
    </row>
    <row r="421" ht="15.75" customHeight="1">
      <c r="A421" s="56"/>
      <c r="B421" s="56"/>
      <c r="C421" s="56"/>
      <c r="D421" s="56"/>
    </row>
    <row r="422" ht="15.75" customHeight="1">
      <c r="A422" s="56"/>
      <c r="B422" s="56"/>
      <c r="C422" s="56"/>
      <c r="D422" s="56"/>
    </row>
    <row r="423" ht="15.75" customHeight="1">
      <c r="A423" s="56"/>
      <c r="B423" s="56"/>
      <c r="C423" s="56"/>
      <c r="D423" s="56"/>
    </row>
    <row r="424" ht="15.75" customHeight="1">
      <c r="A424" s="56"/>
      <c r="B424" s="56"/>
      <c r="C424" s="56"/>
      <c r="D424" s="56"/>
    </row>
    <row r="425" ht="15.75" customHeight="1">
      <c r="A425" s="56"/>
      <c r="B425" s="56"/>
      <c r="C425" s="56"/>
      <c r="D425" s="56"/>
    </row>
    <row r="426" ht="15.75" customHeight="1">
      <c r="A426" s="56"/>
      <c r="B426" s="56"/>
      <c r="C426" s="56"/>
      <c r="D426" s="56"/>
    </row>
    <row r="427" ht="15.75" customHeight="1">
      <c r="A427" s="56"/>
      <c r="B427" s="56"/>
      <c r="C427" s="56"/>
      <c r="D427" s="56"/>
    </row>
    <row r="428" ht="15.75" customHeight="1">
      <c r="A428" s="56"/>
      <c r="B428" s="56"/>
      <c r="C428" s="56"/>
      <c r="D428" s="56"/>
    </row>
    <row r="429" ht="15.75" customHeight="1">
      <c r="A429" s="56"/>
      <c r="B429" s="56"/>
      <c r="C429" s="56"/>
      <c r="D429" s="56"/>
    </row>
    <row r="430" ht="15.75" customHeight="1">
      <c r="A430" s="56"/>
      <c r="B430" s="56"/>
      <c r="C430" s="56"/>
      <c r="D430" s="56"/>
    </row>
    <row r="431" ht="15.75" customHeight="1">
      <c r="A431" s="56"/>
      <c r="B431" s="56"/>
      <c r="C431" s="56"/>
      <c r="D431" s="56"/>
    </row>
    <row r="432" ht="15.75" customHeight="1">
      <c r="A432" s="56"/>
      <c r="B432" s="56"/>
      <c r="C432" s="56"/>
      <c r="D432" s="56"/>
    </row>
    <row r="433" ht="15.75" customHeight="1">
      <c r="A433" s="56"/>
      <c r="B433" s="56"/>
      <c r="C433" s="56"/>
      <c r="D433" s="56"/>
    </row>
    <row r="434" ht="15.75" customHeight="1">
      <c r="A434" s="56"/>
      <c r="B434" s="56"/>
      <c r="C434" s="56"/>
      <c r="D434" s="56"/>
    </row>
    <row r="435" ht="15.75" customHeight="1">
      <c r="A435" s="56"/>
      <c r="B435" s="56"/>
      <c r="C435" s="56"/>
      <c r="D435" s="56"/>
    </row>
    <row r="436" ht="15.75" customHeight="1">
      <c r="A436" s="56"/>
      <c r="B436" s="56"/>
      <c r="C436" s="56"/>
      <c r="D436" s="56"/>
    </row>
    <row r="437" ht="15.75" customHeight="1">
      <c r="A437" s="56"/>
      <c r="B437" s="56"/>
      <c r="C437" s="56"/>
      <c r="D437" s="56"/>
    </row>
    <row r="438" ht="15.75" customHeight="1">
      <c r="A438" s="56"/>
      <c r="B438" s="56"/>
      <c r="C438" s="56"/>
      <c r="D438" s="56"/>
    </row>
    <row r="439" ht="15.75" customHeight="1">
      <c r="A439" s="56"/>
      <c r="B439" s="56"/>
      <c r="C439" s="56"/>
      <c r="D439" s="56"/>
    </row>
    <row r="440" ht="15.75" customHeight="1">
      <c r="A440" s="56"/>
      <c r="B440" s="56"/>
      <c r="C440" s="56"/>
      <c r="D440" s="56"/>
    </row>
    <row r="441" ht="15.75" customHeight="1">
      <c r="A441" s="56"/>
      <c r="B441" s="56"/>
      <c r="C441" s="56"/>
      <c r="D441" s="56"/>
    </row>
    <row r="442" ht="15.75" customHeight="1">
      <c r="A442" s="56"/>
      <c r="B442" s="56"/>
      <c r="C442" s="56"/>
      <c r="D442" s="56"/>
    </row>
    <row r="443" ht="15.75" customHeight="1">
      <c r="A443" s="56"/>
      <c r="B443" s="56"/>
      <c r="C443" s="56"/>
      <c r="D443" s="56"/>
    </row>
    <row r="444" ht="15.75" customHeight="1">
      <c r="A444" s="56"/>
      <c r="B444" s="56"/>
      <c r="C444" s="56"/>
      <c r="D444" s="56"/>
    </row>
    <row r="445" ht="15.75" customHeight="1">
      <c r="A445" s="56"/>
      <c r="B445" s="56"/>
      <c r="C445" s="56"/>
      <c r="D445" s="56"/>
    </row>
    <row r="446" ht="15.75" customHeight="1">
      <c r="A446" s="56"/>
      <c r="B446" s="56"/>
      <c r="C446" s="56"/>
      <c r="D446" s="56"/>
    </row>
    <row r="447" ht="15.75" customHeight="1">
      <c r="A447" s="56"/>
      <c r="B447" s="56"/>
      <c r="C447" s="56"/>
      <c r="D447" s="56"/>
    </row>
    <row r="448" ht="15.75" customHeight="1">
      <c r="A448" s="56"/>
      <c r="B448" s="56"/>
      <c r="C448" s="56"/>
      <c r="D448" s="56"/>
    </row>
    <row r="449" ht="15.75" customHeight="1">
      <c r="A449" s="56"/>
      <c r="B449" s="56"/>
      <c r="C449" s="56"/>
      <c r="D449" s="56"/>
    </row>
    <row r="450" ht="15.75" customHeight="1">
      <c r="A450" s="56"/>
      <c r="B450" s="56"/>
      <c r="C450" s="56"/>
      <c r="D450" s="56"/>
    </row>
    <row r="451" ht="15.75" customHeight="1">
      <c r="A451" s="56"/>
      <c r="B451" s="56"/>
      <c r="C451" s="56"/>
      <c r="D451" s="56"/>
    </row>
    <row r="452" ht="15.75" customHeight="1">
      <c r="A452" s="56"/>
      <c r="B452" s="56"/>
      <c r="C452" s="56"/>
      <c r="D452" s="56"/>
    </row>
    <row r="453" ht="15.75" customHeight="1">
      <c r="A453" s="56"/>
      <c r="B453" s="56"/>
      <c r="C453" s="56"/>
      <c r="D453" s="56"/>
    </row>
    <row r="454" ht="15.75" customHeight="1">
      <c r="A454" s="56"/>
      <c r="B454" s="56"/>
      <c r="C454" s="56"/>
      <c r="D454" s="56"/>
    </row>
    <row r="455" ht="15.75" customHeight="1">
      <c r="A455" s="56"/>
      <c r="B455" s="56"/>
      <c r="C455" s="56"/>
      <c r="D455" s="56"/>
    </row>
    <row r="456" ht="15.75" customHeight="1">
      <c r="A456" s="56"/>
      <c r="B456" s="56"/>
      <c r="C456" s="56"/>
      <c r="D456" s="56"/>
    </row>
    <row r="457" ht="15.75" customHeight="1">
      <c r="A457" s="56"/>
      <c r="B457" s="56"/>
      <c r="C457" s="56"/>
      <c r="D457" s="56"/>
    </row>
    <row r="458" ht="15.75" customHeight="1">
      <c r="A458" s="56"/>
      <c r="B458" s="56"/>
      <c r="C458" s="56"/>
      <c r="D458" s="56"/>
    </row>
    <row r="459" ht="15.75" customHeight="1">
      <c r="A459" s="56"/>
      <c r="B459" s="56"/>
      <c r="C459" s="56"/>
      <c r="D459" s="56"/>
    </row>
    <row r="460" ht="15.75" customHeight="1">
      <c r="A460" s="56"/>
      <c r="B460" s="56"/>
      <c r="C460" s="56"/>
      <c r="D460" s="56"/>
    </row>
    <row r="461" ht="15.75" customHeight="1">
      <c r="A461" s="56"/>
      <c r="B461" s="56"/>
      <c r="C461" s="56"/>
      <c r="D461" s="56"/>
    </row>
    <row r="462" ht="15.75" customHeight="1">
      <c r="A462" s="56"/>
      <c r="B462" s="56"/>
      <c r="C462" s="56"/>
      <c r="D462" s="56"/>
    </row>
    <row r="463" ht="15.75" customHeight="1">
      <c r="A463" s="56"/>
      <c r="B463" s="56"/>
      <c r="C463" s="56"/>
      <c r="D463" s="56"/>
    </row>
    <row r="464" ht="15.75" customHeight="1">
      <c r="A464" s="56"/>
      <c r="B464" s="56"/>
      <c r="C464" s="56"/>
      <c r="D464" s="56"/>
    </row>
    <row r="465" ht="15.75" customHeight="1">
      <c r="A465" s="56"/>
      <c r="B465" s="56"/>
      <c r="C465" s="56"/>
      <c r="D465" s="56"/>
    </row>
    <row r="466" ht="15.75" customHeight="1">
      <c r="A466" s="56"/>
      <c r="B466" s="56"/>
      <c r="C466" s="56"/>
      <c r="D466" s="56"/>
    </row>
    <row r="467" ht="15.75" customHeight="1">
      <c r="A467" s="56"/>
      <c r="B467" s="56"/>
      <c r="C467" s="56"/>
      <c r="D467" s="56"/>
    </row>
    <row r="468" ht="15.75" customHeight="1">
      <c r="A468" s="56"/>
      <c r="B468" s="56"/>
      <c r="C468" s="56"/>
      <c r="D468" s="56"/>
    </row>
    <row r="469" ht="15.75" customHeight="1">
      <c r="A469" s="56"/>
      <c r="B469" s="56"/>
      <c r="C469" s="56"/>
      <c r="D469" s="56"/>
    </row>
    <row r="470" ht="15.75" customHeight="1">
      <c r="A470" s="56"/>
      <c r="B470" s="56"/>
      <c r="C470" s="56"/>
      <c r="D470" s="56"/>
    </row>
    <row r="471" ht="15.75" customHeight="1">
      <c r="A471" s="56"/>
      <c r="B471" s="56"/>
      <c r="C471" s="56"/>
      <c r="D471" s="56"/>
    </row>
    <row r="472" ht="15.75" customHeight="1">
      <c r="A472" s="56"/>
      <c r="B472" s="56"/>
      <c r="C472" s="56"/>
      <c r="D472" s="56"/>
    </row>
    <row r="473" ht="15.75" customHeight="1">
      <c r="A473" s="56"/>
      <c r="B473" s="56"/>
      <c r="C473" s="56"/>
      <c r="D473" s="56"/>
    </row>
    <row r="474" ht="15.75" customHeight="1">
      <c r="A474" s="56"/>
      <c r="B474" s="56"/>
      <c r="C474" s="56"/>
      <c r="D474" s="56"/>
    </row>
    <row r="475" ht="15.75" customHeight="1">
      <c r="A475" s="56"/>
      <c r="B475" s="56"/>
      <c r="C475" s="56"/>
      <c r="D475" s="56"/>
    </row>
    <row r="476" ht="15.75" customHeight="1">
      <c r="A476" s="56"/>
      <c r="B476" s="56"/>
      <c r="C476" s="56"/>
      <c r="D476" s="56"/>
    </row>
    <row r="477" ht="15.75" customHeight="1">
      <c r="A477" s="56"/>
      <c r="B477" s="56"/>
      <c r="C477" s="56"/>
      <c r="D477" s="56"/>
    </row>
    <row r="478" ht="15.75" customHeight="1">
      <c r="A478" s="56"/>
      <c r="B478" s="56"/>
      <c r="C478" s="56"/>
      <c r="D478" s="56"/>
    </row>
    <row r="479" ht="15.75" customHeight="1">
      <c r="A479" s="56"/>
      <c r="B479" s="56"/>
      <c r="C479" s="56"/>
      <c r="D479" s="56"/>
    </row>
    <row r="480" ht="15.75" customHeight="1">
      <c r="A480" s="56"/>
      <c r="B480" s="56"/>
      <c r="C480" s="56"/>
      <c r="D480" s="56"/>
    </row>
    <row r="481" ht="15.75" customHeight="1">
      <c r="A481" s="56"/>
      <c r="B481" s="56"/>
      <c r="C481" s="56"/>
      <c r="D481" s="56"/>
    </row>
    <row r="482" ht="15.75" customHeight="1">
      <c r="A482" s="56"/>
      <c r="B482" s="56"/>
      <c r="C482" s="56"/>
      <c r="D482" s="56"/>
    </row>
    <row r="483" ht="15.75" customHeight="1">
      <c r="A483" s="56"/>
      <c r="B483" s="56"/>
      <c r="C483" s="56"/>
      <c r="D483" s="56"/>
    </row>
    <row r="484" ht="15.75" customHeight="1">
      <c r="A484" s="56"/>
      <c r="B484" s="56"/>
      <c r="C484" s="56"/>
      <c r="D484" s="56"/>
    </row>
    <row r="485" ht="15.75" customHeight="1">
      <c r="A485" s="56"/>
      <c r="B485" s="56"/>
      <c r="C485" s="56"/>
      <c r="D485" s="56"/>
    </row>
    <row r="486" ht="15.75" customHeight="1">
      <c r="A486" s="56"/>
      <c r="B486" s="56"/>
      <c r="C486" s="56"/>
      <c r="D486" s="56"/>
    </row>
    <row r="487" ht="15.75" customHeight="1">
      <c r="A487" s="56"/>
      <c r="B487" s="56"/>
      <c r="C487" s="56"/>
      <c r="D487" s="56"/>
    </row>
    <row r="488" ht="15.75" customHeight="1">
      <c r="A488" s="56"/>
      <c r="B488" s="56"/>
      <c r="C488" s="56"/>
      <c r="D488" s="56"/>
    </row>
    <row r="489" ht="15.75" customHeight="1">
      <c r="A489" s="56"/>
      <c r="B489" s="56"/>
      <c r="C489" s="56"/>
      <c r="D489" s="56"/>
    </row>
    <row r="490" ht="15.75" customHeight="1">
      <c r="A490" s="56"/>
      <c r="B490" s="56"/>
      <c r="C490" s="56"/>
      <c r="D490" s="56"/>
    </row>
    <row r="491" ht="15.75" customHeight="1">
      <c r="A491" s="56"/>
      <c r="B491" s="56"/>
      <c r="C491" s="56"/>
      <c r="D491" s="56"/>
    </row>
    <row r="492" ht="15.75" customHeight="1">
      <c r="A492" s="56"/>
      <c r="B492" s="56"/>
      <c r="C492" s="56"/>
      <c r="D492" s="56"/>
    </row>
    <row r="493" ht="15.75" customHeight="1">
      <c r="A493" s="56"/>
      <c r="B493" s="56"/>
      <c r="C493" s="56"/>
      <c r="D493" s="56"/>
    </row>
    <row r="494" ht="15.75" customHeight="1">
      <c r="A494" s="56"/>
      <c r="B494" s="56"/>
      <c r="C494" s="56"/>
      <c r="D494" s="56"/>
    </row>
    <row r="495" ht="15.75" customHeight="1">
      <c r="A495" s="56"/>
      <c r="B495" s="56"/>
      <c r="C495" s="56"/>
      <c r="D495" s="56"/>
    </row>
    <row r="496" ht="15.75" customHeight="1">
      <c r="A496" s="56"/>
      <c r="B496" s="56"/>
      <c r="C496" s="56"/>
      <c r="D496" s="56"/>
    </row>
    <row r="497" ht="15.75" customHeight="1">
      <c r="A497" s="56"/>
      <c r="B497" s="56"/>
      <c r="C497" s="56"/>
      <c r="D497" s="56"/>
    </row>
    <row r="498" ht="15.75" customHeight="1">
      <c r="A498" s="56"/>
      <c r="B498" s="56"/>
      <c r="C498" s="56"/>
      <c r="D498" s="56"/>
    </row>
    <row r="499" ht="15.75" customHeight="1">
      <c r="A499" s="56"/>
      <c r="B499" s="56"/>
      <c r="C499" s="56"/>
      <c r="D499" s="56"/>
    </row>
    <row r="500" ht="15.75" customHeight="1">
      <c r="A500" s="56"/>
      <c r="B500" s="56"/>
      <c r="C500" s="56"/>
      <c r="D500" s="56"/>
    </row>
    <row r="501" ht="15.75" customHeight="1">
      <c r="A501" s="56"/>
      <c r="B501" s="56"/>
      <c r="C501" s="56"/>
      <c r="D501" s="56"/>
    </row>
    <row r="502" ht="15.75" customHeight="1">
      <c r="A502" s="56"/>
      <c r="B502" s="56"/>
      <c r="C502" s="56"/>
      <c r="D502" s="56"/>
    </row>
    <row r="503" ht="15.75" customHeight="1">
      <c r="A503" s="56"/>
      <c r="B503" s="56"/>
      <c r="C503" s="56"/>
      <c r="D503" s="56"/>
    </row>
    <row r="504" ht="15.75" customHeight="1">
      <c r="A504" s="56"/>
      <c r="B504" s="56"/>
      <c r="C504" s="56"/>
      <c r="D504" s="56"/>
    </row>
    <row r="505" ht="15.75" customHeight="1">
      <c r="A505" s="56"/>
      <c r="B505" s="56"/>
      <c r="C505" s="56"/>
      <c r="D505" s="56"/>
    </row>
    <row r="506" ht="15.75" customHeight="1">
      <c r="A506" s="56"/>
      <c r="B506" s="56"/>
      <c r="C506" s="56"/>
      <c r="D506" s="56"/>
    </row>
    <row r="507" ht="15.75" customHeight="1">
      <c r="A507" s="56"/>
      <c r="B507" s="56"/>
      <c r="C507" s="56"/>
      <c r="D507" s="56"/>
    </row>
    <row r="508" ht="15.75" customHeight="1">
      <c r="A508" s="56"/>
      <c r="B508" s="56"/>
      <c r="C508" s="56"/>
      <c r="D508" s="56"/>
    </row>
    <row r="509" ht="15.75" customHeight="1">
      <c r="A509" s="56"/>
      <c r="B509" s="56"/>
      <c r="C509" s="56"/>
      <c r="D509" s="56"/>
    </row>
    <row r="510" ht="15.75" customHeight="1">
      <c r="A510" s="56"/>
      <c r="B510" s="56"/>
      <c r="C510" s="56"/>
      <c r="D510" s="56"/>
    </row>
    <row r="511" ht="15.75" customHeight="1">
      <c r="A511" s="56"/>
      <c r="B511" s="56"/>
      <c r="C511" s="56"/>
      <c r="D511" s="56"/>
    </row>
    <row r="512" ht="15.75" customHeight="1">
      <c r="A512" s="56"/>
      <c r="B512" s="56"/>
      <c r="C512" s="56"/>
      <c r="D512" s="56"/>
    </row>
    <row r="513" ht="15.75" customHeight="1">
      <c r="A513" s="56"/>
      <c r="B513" s="56"/>
      <c r="C513" s="56"/>
      <c r="D513" s="56"/>
    </row>
    <row r="514" ht="15.75" customHeight="1">
      <c r="A514" s="56"/>
      <c r="B514" s="56"/>
      <c r="C514" s="56"/>
      <c r="D514" s="56"/>
    </row>
    <row r="515" ht="15.75" customHeight="1">
      <c r="A515" s="56"/>
      <c r="B515" s="56"/>
      <c r="C515" s="56"/>
      <c r="D515" s="56"/>
    </row>
    <row r="516" ht="15.75" customHeight="1">
      <c r="A516" s="56"/>
      <c r="B516" s="56"/>
      <c r="C516" s="56"/>
      <c r="D516" s="56"/>
    </row>
    <row r="517" ht="15.75" customHeight="1">
      <c r="A517" s="56"/>
      <c r="B517" s="56"/>
      <c r="C517" s="56"/>
      <c r="D517" s="56"/>
    </row>
    <row r="518" ht="15.75" customHeight="1">
      <c r="A518" s="56"/>
      <c r="B518" s="56"/>
      <c r="C518" s="56"/>
      <c r="D518" s="56"/>
    </row>
    <row r="519" ht="15.75" customHeight="1">
      <c r="A519" s="56"/>
      <c r="B519" s="56"/>
      <c r="C519" s="56"/>
      <c r="D519" s="56"/>
    </row>
    <row r="520" ht="15.75" customHeight="1">
      <c r="A520" s="56"/>
      <c r="B520" s="56"/>
      <c r="C520" s="56"/>
      <c r="D520" s="56"/>
    </row>
    <row r="521" ht="15.75" customHeight="1">
      <c r="A521" s="56"/>
      <c r="B521" s="56"/>
      <c r="C521" s="56"/>
      <c r="D521" s="56"/>
    </row>
    <row r="522" ht="15.75" customHeight="1">
      <c r="A522" s="56"/>
      <c r="B522" s="56"/>
      <c r="C522" s="56"/>
      <c r="D522" s="56"/>
    </row>
    <row r="523" ht="15.75" customHeight="1">
      <c r="A523" s="56"/>
      <c r="B523" s="56"/>
      <c r="C523" s="56"/>
      <c r="D523" s="56"/>
    </row>
    <row r="524" ht="15.75" customHeight="1">
      <c r="A524" s="56"/>
      <c r="B524" s="56"/>
      <c r="C524" s="56"/>
      <c r="D524" s="56"/>
    </row>
    <row r="525" ht="15.75" customHeight="1">
      <c r="A525" s="56"/>
      <c r="B525" s="56"/>
      <c r="C525" s="56"/>
      <c r="D525" s="56"/>
    </row>
    <row r="526" ht="15.75" customHeight="1">
      <c r="A526" s="56"/>
      <c r="B526" s="56"/>
      <c r="C526" s="56"/>
      <c r="D526" s="56"/>
    </row>
    <row r="527" ht="15.75" customHeight="1">
      <c r="A527" s="56"/>
      <c r="B527" s="56"/>
      <c r="C527" s="56"/>
      <c r="D527" s="56"/>
    </row>
    <row r="528" ht="15.75" customHeight="1">
      <c r="A528" s="56"/>
      <c r="B528" s="56"/>
      <c r="C528" s="56"/>
      <c r="D528" s="56"/>
    </row>
    <row r="529" ht="15.75" customHeight="1">
      <c r="A529" s="56"/>
      <c r="B529" s="56"/>
      <c r="C529" s="56"/>
      <c r="D529" s="56"/>
    </row>
    <row r="530" ht="15.75" customHeight="1">
      <c r="A530" s="56"/>
      <c r="B530" s="56"/>
      <c r="C530" s="56"/>
      <c r="D530" s="56"/>
    </row>
    <row r="531" ht="15.75" customHeight="1">
      <c r="A531" s="56"/>
      <c r="B531" s="56"/>
      <c r="C531" s="56"/>
      <c r="D531" s="56"/>
    </row>
    <row r="532" ht="15.75" customHeight="1">
      <c r="A532" s="56"/>
      <c r="B532" s="56"/>
      <c r="C532" s="56"/>
      <c r="D532" s="56"/>
    </row>
    <row r="533" ht="15.75" customHeight="1">
      <c r="A533" s="56"/>
      <c r="B533" s="56"/>
      <c r="C533" s="56"/>
      <c r="D533" s="56"/>
    </row>
    <row r="534" ht="15.75" customHeight="1">
      <c r="A534" s="56"/>
      <c r="B534" s="56"/>
      <c r="C534" s="56"/>
      <c r="D534" s="56"/>
    </row>
    <row r="535" ht="15.75" customHeight="1">
      <c r="A535" s="56"/>
      <c r="B535" s="56"/>
      <c r="C535" s="56"/>
      <c r="D535" s="56"/>
    </row>
    <row r="536" ht="15.75" customHeight="1">
      <c r="A536" s="56"/>
      <c r="B536" s="56"/>
      <c r="C536" s="56"/>
      <c r="D536" s="56"/>
    </row>
    <row r="537" ht="15.75" customHeight="1">
      <c r="A537" s="56"/>
      <c r="B537" s="56"/>
      <c r="C537" s="56"/>
      <c r="D537" s="56"/>
    </row>
    <row r="538" ht="15.75" customHeight="1">
      <c r="A538" s="56"/>
      <c r="B538" s="56"/>
      <c r="C538" s="56"/>
      <c r="D538" s="56"/>
    </row>
    <row r="539" ht="15.75" customHeight="1">
      <c r="A539" s="56"/>
      <c r="B539" s="56"/>
      <c r="C539" s="56"/>
      <c r="D539" s="56"/>
    </row>
    <row r="540" ht="15.75" customHeight="1">
      <c r="A540" s="56"/>
      <c r="B540" s="56"/>
      <c r="C540" s="56"/>
      <c r="D540" s="56"/>
    </row>
    <row r="541" ht="15.75" customHeight="1">
      <c r="A541" s="56"/>
      <c r="B541" s="56"/>
      <c r="C541" s="56"/>
      <c r="D541" s="56"/>
    </row>
    <row r="542" ht="15.75" customHeight="1">
      <c r="A542" s="56"/>
      <c r="B542" s="56"/>
      <c r="C542" s="56"/>
      <c r="D542" s="56"/>
    </row>
    <row r="543" ht="15.75" customHeight="1">
      <c r="A543" s="56"/>
      <c r="B543" s="56"/>
      <c r="C543" s="56"/>
      <c r="D543" s="56"/>
    </row>
    <row r="544" ht="15.75" customHeight="1">
      <c r="A544" s="56"/>
      <c r="B544" s="56"/>
      <c r="C544" s="56"/>
      <c r="D544" s="56"/>
    </row>
    <row r="545" ht="15.75" customHeight="1">
      <c r="A545" s="56"/>
      <c r="B545" s="56"/>
      <c r="C545" s="56"/>
      <c r="D545" s="56"/>
    </row>
    <row r="546" ht="15.75" customHeight="1">
      <c r="A546" s="56"/>
      <c r="B546" s="56"/>
      <c r="C546" s="56"/>
      <c r="D546" s="56"/>
    </row>
    <row r="547" ht="15.75" customHeight="1">
      <c r="A547" s="56"/>
      <c r="B547" s="56"/>
      <c r="C547" s="56"/>
      <c r="D547" s="56"/>
    </row>
    <row r="548" ht="15.75" customHeight="1">
      <c r="A548" s="56"/>
      <c r="B548" s="56"/>
      <c r="C548" s="56"/>
      <c r="D548" s="56"/>
    </row>
    <row r="549" ht="15.75" customHeight="1">
      <c r="A549" s="56"/>
      <c r="B549" s="56"/>
      <c r="C549" s="56"/>
      <c r="D549" s="56"/>
    </row>
    <row r="550" ht="15.75" customHeight="1">
      <c r="A550" s="56"/>
      <c r="B550" s="56"/>
      <c r="C550" s="56"/>
      <c r="D550" s="56"/>
    </row>
    <row r="551" ht="15.75" customHeight="1">
      <c r="A551" s="56"/>
      <c r="B551" s="56"/>
      <c r="C551" s="56"/>
      <c r="D551" s="56"/>
    </row>
    <row r="552" ht="15.75" customHeight="1">
      <c r="A552" s="56"/>
      <c r="B552" s="56"/>
      <c r="C552" s="56"/>
      <c r="D552" s="56"/>
    </row>
    <row r="553" ht="15.75" customHeight="1">
      <c r="A553" s="56"/>
      <c r="B553" s="56"/>
      <c r="C553" s="56"/>
      <c r="D553" s="56"/>
    </row>
    <row r="554" ht="15.75" customHeight="1">
      <c r="A554" s="56"/>
      <c r="B554" s="56"/>
      <c r="C554" s="56"/>
      <c r="D554" s="56"/>
    </row>
    <row r="555" ht="15.75" customHeight="1">
      <c r="A555" s="56"/>
      <c r="B555" s="56"/>
      <c r="C555" s="56"/>
      <c r="D555" s="56"/>
    </row>
    <row r="556" ht="15.75" customHeight="1">
      <c r="A556" s="56"/>
      <c r="B556" s="56"/>
      <c r="C556" s="56"/>
      <c r="D556" s="56"/>
    </row>
    <row r="557" ht="15.75" customHeight="1">
      <c r="A557" s="56"/>
      <c r="B557" s="56"/>
      <c r="C557" s="56"/>
      <c r="D557" s="56"/>
    </row>
    <row r="558" ht="15.75" customHeight="1">
      <c r="A558" s="56"/>
      <c r="B558" s="56"/>
      <c r="C558" s="56"/>
      <c r="D558" s="56"/>
    </row>
    <row r="559" ht="15.75" customHeight="1">
      <c r="A559" s="56"/>
      <c r="B559" s="56"/>
      <c r="C559" s="56"/>
      <c r="D559" s="56"/>
    </row>
    <row r="560" ht="15.75" customHeight="1">
      <c r="A560" s="56"/>
      <c r="B560" s="56"/>
      <c r="C560" s="56"/>
      <c r="D560" s="56"/>
    </row>
    <row r="561" ht="15.75" customHeight="1">
      <c r="A561" s="56"/>
      <c r="B561" s="56"/>
      <c r="C561" s="56"/>
      <c r="D561" s="56"/>
    </row>
    <row r="562" ht="15.75" customHeight="1">
      <c r="A562" s="56"/>
      <c r="B562" s="56"/>
      <c r="C562" s="56"/>
      <c r="D562" s="56"/>
    </row>
    <row r="563" ht="15.75" customHeight="1">
      <c r="A563" s="56"/>
      <c r="B563" s="56"/>
      <c r="C563" s="56"/>
      <c r="D563" s="56"/>
    </row>
    <row r="564" ht="15.75" customHeight="1">
      <c r="A564" s="56"/>
      <c r="B564" s="56"/>
      <c r="C564" s="56"/>
      <c r="D564" s="56"/>
    </row>
    <row r="565" ht="15.75" customHeight="1">
      <c r="A565" s="56"/>
      <c r="B565" s="56"/>
      <c r="C565" s="56"/>
      <c r="D565" s="56"/>
    </row>
    <row r="566" ht="15.75" customHeight="1">
      <c r="A566" s="56"/>
      <c r="B566" s="56"/>
      <c r="C566" s="56"/>
      <c r="D566" s="56"/>
    </row>
    <row r="567" ht="15.75" customHeight="1">
      <c r="A567" s="56"/>
      <c r="B567" s="56"/>
      <c r="C567" s="56"/>
      <c r="D567" s="56"/>
    </row>
    <row r="568" ht="15.75" customHeight="1">
      <c r="A568" s="56"/>
      <c r="B568" s="56"/>
      <c r="C568" s="56"/>
      <c r="D568" s="56"/>
    </row>
    <row r="569" ht="15.75" customHeight="1">
      <c r="A569" s="56"/>
      <c r="B569" s="56"/>
      <c r="C569" s="56"/>
      <c r="D569" s="56"/>
    </row>
    <row r="570" ht="15.75" customHeight="1">
      <c r="A570" s="56"/>
      <c r="B570" s="56"/>
      <c r="C570" s="56"/>
      <c r="D570" s="56"/>
    </row>
    <row r="571" ht="15.75" customHeight="1">
      <c r="A571" s="56"/>
      <c r="B571" s="56"/>
      <c r="C571" s="56"/>
      <c r="D571" s="56"/>
    </row>
    <row r="572" ht="15.75" customHeight="1">
      <c r="A572" s="56"/>
      <c r="B572" s="56"/>
      <c r="C572" s="56"/>
      <c r="D572" s="56"/>
    </row>
    <row r="573" ht="15.75" customHeight="1">
      <c r="A573" s="56"/>
      <c r="B573" s="56"/>
      <c r="C573" s="56"/>
      <c r="D573" s="56"/>
    </row>
    <row r="574" ht="15.75" customHeight="1">
      <c r="A574" s="56"/>
      <c r="B574" s="56"/>
      <c r="C574" s="56"/>
      <c r="D574" s="56"/>
    </row>
    <row r="575" ht="15.75" customHeight="1">
      <c r="A575" s="56"/>
      <c r="B575" s="56"/>
      <c r="C575" s="56"/>
      <c r="D575" s="56"/>
    </row>
    <row r="576" ht="15.75" customHeight="1">
      <c r="A576" s="56"/>
      <c r="B576" s="56"/>
      <c r="C576" s="56"/>
      <c r="D576" s="56"/>
    </row>
    <row r="577" ht="15.75" customHeight="1">
      <c r="A577" s="56"/>
      <c r="B577" s="56"/>
      <c r="C577" s="56"/>
      <c r="D577" s="56"/>
    </row>
    <row r="578" ht="15.75" customHeight="1">
      <c r="A578" s="56"/>
      <c r="B578" s="56"/>
      <c r="C578" s="56"/>
      <c r="D578" s="56"/>
    </row>
    <row r="579" ht="15.75" customHeight="1">
      <c r="A579" s="56"/>
      <c r="B579" s="56"/>
      <c r="C579" s="56"/>
      <c r="D579" s="56"/>
    </row>
    <row r="580" ht="15.75" customHeight="1">
      <c r="A580" s="56"/>
      <c r="B580" s="56"/>
      <c r="C580" s="56"/>
      <c r="D580" s="56"/>
    </row>
    <row r="581" ht="15.75" customHeight="1">
      <c r="A581" s="56"/>
      <c r="B581" s="56"/>
      <c r="C581" s="56"/>
      <c r="D581" s="56"/>
    </row>
    <row r="582" ht="15.75" customHeight="1">
      <c r="A582" s="56"/>
      <c r="B582" s="56"/>
      <c r="C582" s="56"/>
      <c r="D582" s="56"/>
    </row>
    <row r="583" ht="15.75" customHeight="1">
      <c r="A583" s="56"/>
      <c r="B583" s="56"/>
      <c r="C583" s="56"/>
      <c r="D583" s="56"/>
    </row>
    <row r="584" ht="15.75" customHeight="1">
      <c r="A584" s="56"/>
      <c r="B584" s="56"/>
      <c r="C584" s="56"/>
      <c r="D584" s="56"/>
    </row>
    <row r="585" ht="15.75" customHeight="1">
      <c r="A585" s="56"/>
      <c r="B585" s="56"/>
      <c r="C585" s="56"/>
      <c r="D585" s="56"/>
    </row>
    <row r="586" ht="15.75" customHeight="1">
      <c r="A586" s="56"/>
      <c r="B586" s="56"/>
      <c r="C586" s="56"/>
      <c r="D586" s="56"/>
    </row>
    <row r="587" ht="15.75" customHeight="1">
      <c r="A587" s="56"/>
      <c r="B587" s="56"/>
      <c r="C587" s="56"/>
      <c r="D587" s="56"/>
    </row>
    <row r="588" ht="15.75" customHeight="1">
      <c r="A588" s="56"/>
      <c r="B588" s="56"/>
      <c r="C588" s="56"/>
      <c r="D588" s="56"/>
    </row>
    <row r="589" ht="15.75" customHeight="1">
      <c r="A589" s="56"/>
      <c r="B589" s="56"/>
      <c r="C589" s="56"/>
      <c r="D589" s="56"/>
    </row>
    <row r="590" ht="15.75" customHeight="1">
      <c r="A590" s="56"/>
      <c r="B590" s="56"/>
      <c r="C590" s="56"/>
      <c r="D590" s="56"/>
    </row>
    <row r="591" ht="15.75" customHeight="1">
      <c r="A591" s="56"/>
      <c r="B591" s="56"/>
      <c r="C591" s="56"/>
      <c r="D591" s="56"/>
    </row>
    <row r="592" ht="15.75" customHeight="1">
      <c r="A592" s="56"/>
      <c r="B592" s="56"/>
      <c r="C592" s="56"/>
      <c r="D592" s="56"/>
    </row>
    <row r="593" ht="15.75" customHeight="1">
      <c r="A593" s="56"/>
      <c r="B593" s="56"/>
      <c r="C593" s="56"/>
      <c r="D593" s="56"/>
    </row>
    <row r="594" ht="15.75" customHeight="1">
      <c r="A594" s="56"/>
      <c r="B594" s="56"/>
      <c r="C594" s="56"/>
      <c r="D594" s="56"/>
    </row>
    <row r="595" ht="15.75" customHeight="1">
      <c r="A595" s="56"/>
      <c r="B595" s="56"/>
      <c r="C595" s="56"/>
      <c r="D595" s="56"/>
    </row>
    <row r="596" ht="15.75" customHeight="1">
      <c r="A596" s="56"/>
      <c r="B596" s="56"/>
      <c r="C596" s="56"/>
      <c r="D596" s="56"/>
    </row>
    <row r="597" ht="15.75" customHeight="1">
      <c r="A597" s="56"/>
      <c r="B597" s="56"/>
      <c r="C597" s="56"/>
      <c r="D597" s="56"/>
    </row>
    <row r="598" ht="15.75" customHeight="1">
      <c r="A598" s="56"/>
      <c r="B598" s="56"/>
      <c r="C598" s="56"/>
      <c r="D598" s="56"/>
    </row>
    <row r="599" ht="15.75" customHeight="1">
      <c r="A599" s="56"/>
      <c r="B599" s="56"/>
      <c r="C599" s="56"/>
      <c r="D599" s="56"/>
    </row>
    <row r="600" ht="15.75" customHeight="1">
      <c r="A600" s="56"/>
      <c r="B600" s="56"/>
      <c r="C600" s="56"/>
      <c r="D600" s="56"/>
    </row>
    <row r="601" ht="15.75" customHeight="1">
      <c r="A601" s="56"/>
      <c r="B601" s="56"/>
      <c r="C601" s="56"/>
      <c r="D601" s="56"/>
    </row>
    <row r="602" ht="15.75" customHeight="1">
      <c r="A602" s="56"/>
      <c r="B602" s="56"/>
      <c r="C602" s="56"/>
      <c r="D602" s="56"/>
    </row>
    <row r="603" ht="15.75" customHeight="1">
      <c r="A603" s="56"/>
      <c r="B603" s="56"/>
      <c r="C603" s="56"/>
      <c r="D603" s="56"/>
    </row>
    <row r="604" ht="15.75" customHeight="1">
      <c r="A604" s="56"/>
      <c r="B604" s="56"/>
      <c r="C604" s="56"/>
      <c r="D604" s="56"/>
    </row>
    <row r="605" ht="15.75" customHeight="1">
      <c r="A605" s="56"/>
      <c r="B605" s="56"/>
      <c r="C605" s="56"/>
      <c r="D605" s="56"/>
    </row>
    <row r="606" ht="15.75" customHeight="1">
      <c r="A606" s="56"/>
      <c r="B606" s="56"/>
      <c r="C606" s="56"/>
      <c r="D606" s="56"/>
    </row>
    <row r="607" ht="15.75" customHeight="1">
      <c r="A607" s="56"/>
      <c r="B607" s="56"/>
      <c r="C607" s="56"/>
      <c r="D607" s="56"/>
    </row>
    <row r="608" ht="15.75" customHeight="1">
      <c r="A608" s="56"/>
      <c r="B608" s="56"/>
      <c r="C608" s="56"/>
      <c r="D608" s="56"/>
    </row>
    <row r="609" ht="15.75" customHeight="1">
      <c r="A609" s="56"/>
      <c r="B609" s="56"/>
      <c r="C609" s="56"/>
      <c r="D609" s="56"/>
    </row>
    <row r="610" ht="15.75" customHeight="1">
      <c r="A610" s="56"/>
      <c r="B610" s="56"/>
      <c r="C610" s="56"/>
      <c r="D610" s="56"/>
    </row>
    <row r="611" ht="15.75" customHeight="1">
      <c r="A611" s="56"/>
      <c r="B611" s="56"/>
      <c r="C611" s="56"/>
      <c r="D611" s="56"/>
    </row>
    <row r="612" ht="15.75" customHeight="1">
      <c r="A612" s="56"/>
      <c r="B612" s="56"/>
      <c r="C612" s="56"/>
      <c r="D612" s="56"/>
    </row>
    <row r="613" ht="15.75" customHeight="1">
      <c r="A613" s="56"/>
      <c r="B613" s="56"/>
      <c r="C613" s="56"/>
      <c r="D613" s="56"/>
    </row>
    <row r="614" ht="15.75" customHeight="1">
      <c r="A614" s="56"/>
      <c r="B614" s="56"/>
      <c r="C614" s="56"/>
      <c r="D614" s="56"/>
    </row>
    <row r="615" ht="15.75" customHeight="1">
      <c r="A615" s="56"/>
      <c r="B615" s="56"/>
      <c r="C615" s="56"/>
      <c r="D615" s="56"/>
    </row>
    <row r="616" ht="15.75" customHeight="1">
      <c r="A616" s="56"/>
      <c r="B616" s="56"/>
      <c r="C616" s="56"/>
      <c r="D616" s="56"/>
    </row>
    <row r="617" ht="15.75" customHeight="1">
      <c r="A617" s="56"/>
      <c r="B617" s="56"/>
      <c r="C617" s="56"/>
      <c r="D617" s="56"/>
    </row>
    <row r="618" ht="15.75" customHeight="1">
      <c r="A618" s="56"/>
      <c r="B618" s="56"/>
      <c r="C618" s="56"/>
      <c r="D618" s="56"/>
    </row>
    <row r="619" ht="15.75" customHeight="1">
      <c r="A619" s="56"/>
      <c r="B619" s="56"/>
      <c r="C619" s="56"/>
      <c r="D619" s="56"/>
    </row>
    <row r="620" ht="15.75" customHeight="1">
      <c r="A620" s="56"/>
      <c r="B620" s="56"/>
      <c r="C620" s="56"/>
      <c r="D620" s="56"/>
    </row>
    <row r="621" ht="15.75" customHeight="1">
      <c r="A621" s="56"/>
      <c r="B621" s="56"/>
      <c r="C621" s="56"/>
      <c r="D621" s="56"/>
    </row>
    <row r="622" ht="15.75" customHeight="1">
      <c r="A622" s="56"/>
      <c r="B622" s="56"/>
      <c r="C622" s="56"/>
      <c r="D622" s="56"/>
    </row>
    <row r="623" ht="15.75" customHeight="1">
      <c r="A623" s="56"/>
      <c r="B623" s="56"/>
      <c r="C623" s="56"/>
      <c r="D623" s="56"/>
    </row>
    <row r="624" ht="15.75" customHeight="1">
      <c r="A624" s="56"/>
      <c r="B624" s="56"/>
      <c r="C624" s="56"/>
      <c r="D624" s="56"/>
    </row>
    <row r="625" ht="15.75" customHeight="1">
      <c r="A625" s="56"/>
      <c r="B625" s="56"/>
      <c r="C625" s="56"/>
      <c r="D625" s="56"/>
    </row>
    <row r="626" ht="15.75" customHeight="1">
      <c r="A626" s="56"/>
      <c r="B626" s="56"/>
      <c r="C626" s="56"/>
      <c r="D626" s="56"/>
    </row>
    <row r="627" ht="15.75" customHeight="1">
      <c r="A627" s="56"/>
      <c r="B627" s="56"/>
      <c r="C627" s="56"/>
      <c r="D627" s="56"/>
    </row>
    <row r="628" ht="15.75" customHeight="1">
      <c r="A628" s="56"/>
      <c r="B628" s="56"/>
      <c r="C628" s="56"/>
      <c r="D628" s="56"/>
    </row>
    <row r="629" ht="15.75" customHeight="1">
      <c r="A629" s="56"/>
      <c r="B629" s="56"/>
      <c r="C629" s="56"/>
      <c r="D629" s="56"/>
    </row>
    <row r="630" ht="15.75" customHeight="1">
      <c r="A630" s="56"/>
      <c r="B630" s="56"/>
      <c r="C630" s="56"/>
      <c r="D630" s="56"/>
    </row>
    <row r="631" ht="15.75" customHeight="1">
      <c r="A631" s="56"/>
      <c r="B631" s="56"/>
      <c r="C631" s="56"/>
      <c r="D631" s="56"/>
    </row>
    <row r="632" ht="15.75" customHeight="1">
      <c r="A632" s="56"/>
      <c r="B632" s="56"/>
      <c r="C632" s="56"/>
      <c r="D632" s="56"/>
    </row>
    <row r="633" ht="15.75" customHeight="1">
      <c r="A633" s="56"/>
      <c r="B633" s="56"/>
      <c r="C633" s="56"/>
      <c r="D633" s="56"/>
    </row>
    <row r="634" ht="15.75" customHeight="1">
      <c r="A634" s="56"/>
      <c r="B634" s="56"/>
      <c r="C634" s="56"/>
      <c r="D634" s="56"/>
    </row>
    <row r="635" ht="15.75" customHeight="1">
      <c r="A635" s="56"/>
      <c r="B635" s="56"/>
      <c r="C635" s="56"/>
      <c r="D635" s="56"/>
    </row>
    <row r="636" ht="15.75" customHeight="1">
      <c r="A636" s="56"/>
      <c r="B636" s="56"/>
      <c r="C636" s="56"/>
      <c r="D636" s="56"/>
    </row>
    <row r="637" ht="15.75" customHeight="1">
      <c r="A637" s="56"/>
      <c r="B637" s="56"/>
      <c r="C637" s="56"/>
      <c r="D637" s="56"/>
    </row>
    <row r="638" ht="15.75" customHeight="1">
      <c r="A638" s="56"/>
      <c r="B638" s="56"/>
      <c r="C638" s="56"/>
      <c r="D638" s="56"/>
    </row>
    <row r="639" ht="15.75" customHeight="1">
      <c r="A639" s="56"/>
      <c r="B639" s="56"/>
      <c r="C639" s="56"/>
      <c r="D639" s="56"/>
    </row>
    <row r="640" ht="15.75" customHeight="1">
      <c r="A640" s="56"/>
      <c r="B640" s="56"/>
      <c r="C640" s="56"/>
      <c r="D640" s="56"/>
    </row>
    <row r="641" ht="15.75" customHeight="1">
      <c r="A641" s="56"/>
      <c r="B641" s="56"/>
      <c r="C641" s="56"/>
      <c r="D641" s="56"/>
    </row>
    <row r="642" ht="15.75" customHeight="1">
      <c r="A642" s="56"/>
      <c r="B642" s="56"/>
      <c r="C642" s="56"/>
      <c r="D642" s="56"/>
    </row>
    <row r="643" ht="15.75" customHeight="1">
      <c r="A643" s="56"/>
      <c r="B643" s="56"/>
      <c r="C643" s="56"/>
      <c r="D643" s="56"/>
    </row>
    <row r="644" ht="15.75" customHeight="1">
      <c r="A644" s="56"/>
      <c r="B644" s="56"/>
      <c r="C644" s="56"/>
      <c r="D644" s="56"/>
    </row>
    <row r="645" ht="15.75" customHeight="1">
      <c r="A645" s="56"/>
      <c r="B645" s="56"/>
      <c r="C645" s="56"/>
      <c r="D645" s="56"/>
    </row>
    <row r="646" ht="15.75" customHeight="1">
      <c r="A646" s="56"/>
      <c r="B646" s="56"/>
      <c r="C646" s="56"/>
      <c r="D646" s="56"/>
    </row>
    <row r="647" ht="15.75" customHeight="1">
      <c r="A647" s="56"/>
      <c r="B647" s="56"/>
      <c r="C647" s="56"/>
      <c r="D647" s="56"/>
    </row>
    <row r="648" ht="15.75" customHeight="1">
      <c r="A648" s="56"/>
      <c r="B648" s="56"/>
      <c r="C648" s="56"/>
      <c r="D648" s="56"/>
    </row>
    <row r="649" ht="15.75" customHeight="1">
      <c r="A649" s="56"/>
      <c r="B649" s="56"/>
      <c r="C649" s="56"/>
      <c r="D649" s="56"/>
    </row>
    <row r="650" ht="15.75" customHeight="1">
      <c r="A650" s="56"/>
      <c r="B650" s="56"/>
      <c r="C650" s="56"/>
      <c r="D650" s="56"/>
    </row>
    <row r="651" ht="15.75" customHeight="1">
      <c r="A651" s="56"/>
      <c r="B651" s="56"/>
      <c r="C651" s="56"/>
      <c r="D651" s="56"/>
    </row>
    <row r="652" ht="15.75" customHeight="1">
      <c r="A652" s="56"/>
      <c r="B652" s="56"/>
      <c r="C652" s="56"/>
      <c r="D652" s="56"/>
    </row>
    <row r="653" ht="15.75" customHeight="1">
      <c r="A653" s="56"/>
      <c r="B653" s="56"/>
      <c r="C653" s="56"/>
      <c r="D653" s="56"/>
    </row>
    <row r="654" ht="15.75" customHeight="1">
      <c r="A654" s="56"/>
      <c r="B654" s="56"/>
      <c r="C654" s="56"/>
      <c r="D654" s="56"/>
    </row>
    <row r="655" ht="15.75" customHeight="1">
      <c r="A655" s="56"/>
      <c r="B655" s="56"/>
      <c r="C655" s="56"/>
      <c r="D655" s="56"/>
    </row>
    <row r="656" ht="15.75" customHeight="1">
      <c r="A656" s="56"/>
      <c r="B656" s="56"/>
      <c r="C656" s="56"/>
      <c r="D656" s="56"/>
    </row>
    <row r="657" ht="15.75" customHeight="1">
      <c r="A657" s="56"/>
      <c r="B657" s="56"/>
      <c r="C657" s="56"/>
      <c r="D657" s="56"/>
    </row>
    <row r="658" ht="15.75" customHeight="1">
      <c r="A658" s="56"/>
      <c r="B658" s="56"/>
      <c r="C658" s="56"/>
      <c r="D658" s="56"/>
    </row>
    <row r="659" ht="15.75" customHeight="1">
      <c r="A659" s="56"/>
      <c r="B659" s="56"/>
      <c r="C659" s="56"/>
      <c r="D659" s="56"/>
    </row>
    <row r="660" ht="15.75" customHeight="1">
      <c r="A660" s="56"/>
      <c r="B660" s="56"/>
      <c r="C660" s="56"/>
      <c r="D660" s="56"/>
    </row>
    <row r="661" ht="15.75" customHeight="1">
      <c r="A661" s="56"/>
      <c r="B661" s="56"/>
      <c r="C661" s="56"/>
      <c r="D661" s="56"/>
    </row>
    <row r="662" ht="15.75" customHeight="1">
      <c r="A662" s="56"/>
      <c r="B662" s="56"/>
      <c r="C662" s="56"/>
      <c r="D662" s="56"/>
    </row>
    <row r="663" ht="15.75" customHeight="1">
      <c r="A663" s="56"/>
      <c r="B663" s="56"/>
      <c r="C663" s="56"/>
      <c r="D663" s="56"/>
    </row>
    <row r="664" ht="15.75" customHeight="1">
      <c r="A664" s="56"/>
      <c r="B664" s="56"/>
      <c r="C664" s="56"/>
      <c r="D664" s="56"/>
    </row>
    <row r="665" ht="15.75" customHeight="1">
      <c r="A665" s="56"/>
      <c r="B665" s="56"/>
      <c r="C665" s="56"/>
      <c r="D665" s="56"/>
    </row>
    <row r="666" ht="15.75" customHeight="1">
      <c r="A666" s="56"/>
      <c r="B666" s="56"/>
      <c r="C666" s="56"/>
      <c r="D666" s="56"/>
    </row>
    <row r="667" ht="15.75" customHeight="1">
      <c r="A667" s="56"/>
      <c r="B667" s="56"/>
      <c r="C667" s="56"/>
      <c r="D667" s="56"/>
    </row>
    <row r="668" ht="15.75" customHeight="1">
      <c r="A668" s="56"/>
      <c r="B668" s="56"/>
      <c r="C668" s="56"/>
      <c r="D668" s="56"/>
    </row>
    <row r="669" ht="15.75" customHeight="1">
      <c r="A669" s="56"/>
      <c r="B669" s="56"/>
      <c r="C669" s="56"/>
      <c r="D669" s="56"/>
    </row>
    <row r="670" ht="15.75" customHeight="1">
      <c r="A670" s="56"/>
      <c r="B670" s="56"/>
      <c r="C670" s="56"/>
      <c r="D670" s="56"/>
    </row>
    <row r="671" ht="15.75" customHeight="1">
      <c r="A671" s="56"/>
      <c r="B671" s="56"/>
      <c r="C671" s="56"/>
      <c r="D671" s="56"/>
    </row>
    <row r="672" ht="15.75" customHeight="1">
      <c r="A672" s="56"/>
      <c r="B672" s="56"/>
      <c r="C672" s="56"/>
      <c r="D672" s="56"/>
    </row>
    <row r="673" ht="15.75" customHeight="1">
      <c r="A673" s="56"/>
      <c r="B673" s="56"/>
      <c r="C673" s="56"/>
      <c r="D673" s="56"/>
    </row>
    <row r="674" ht="15.75" customHeight="1">
      <c r="A674" s="56"/>
      <c r="B674" s="56"/>
      <c r="C674" s="56"/>
      <c r="D674" s="56"/>
    </row>
    <row r="675" ht="15.75" customHeight="1">
      <c r="A675" s="56"/>
      <c r="B675" s="56"/>
      <c r="C675" s="56"/>
      <c r="D675" s="56"/>
    </row>
    <row r="676" ht="15.75" customHeight="1">
      <c r="A676" s="56"/>
      <c r="B676" s="56"/>
      <c r="C676" s="56"/>
      <c r="D676" s="56"/>
    </row>
    <row r="677" ht="15.75" customHeight="1">
      <c r="A677" s="56"/>
      <c r="B677" s="56"/>
      <c r="C677" s="56"/>
      <c r="D677" s="56"/>
    </row>
    <row r="678" ht="15.75" customHeight="1">
      <c r="A678" s="56"/>
      <c r="B678" s="56"/>
      <c r="C678" s="56"/>
      <c r="D678" s="56"/>
    </row>
    <row r="679" ht="15.75" customHeight="1">
      <c r="A679" s="56"/>
      <c r="B679" s="56"/>
      <c r="C679" s="56"/>
      <c r="D679" s="56"/>
    </row>
    <row r="680" ht="15.75" customHeight="1">
      <c r="A680" s="56"/>
      <c r="B680" s="56"/>
      <c r="C680" s="56"/>
      <c r="D680" s="56"/>
    </row>
    <row r="681" ht="15.75" customHeight="1">
      <c r="A681" s="56"/>
      <c r="B681" s="56"/>
      <c r="C681" s="56"/>
      <c r="D681" s="56"/>
    </row>
    <row r="682" ht="15.75" customHeight="1">
      <c r="A682" s="56"/>
      <c r="B682" s="56"/>
      <c r="C682" s="56"/>
      <c r="D682" s="56"/>
    </row>
    <row r="683" ht="15.75" customHeight="1">
      <c r="A683" s="56"/>
      <c r="B683" s="56"/>
      <c r="C683" s="56"/>
      <c r="D683" s="56"/>
    </row>
    <row r="684" ht="15.75" customHeight="1">
      <c r="A684" s="56"/>
      <c r="B684" s="56"/>
      <c r="C684" s="56"/>
      <c r="D684" s="56"/>
    </row>
    <row r="685" ht="15.75" customHeight="1">
      <c r="A685" s="56"/>
      <c r="B685" s="56"/>
      <c r="C685" s="56"/>
      <c r="D685" s="56"/>
    </row>
    <row r="686" ht="15.75" customHeight="1">
      <c r="A686" s="56"/>
      <c r="B686" s="56"/>
      <c r="C686" s="56"/>
      <c r="D686" s="56"/>
    </row>
    <row r="687" ht="15.75" customHeight="1">
      <c r="A687" s="56"/>
      <c r="B687" s="56"/>
      <c r="C687" s="56"/>
      <c r="D687" s="56"/>
    </row>
    <row r="688" ht="15.75" customHeight="1">
      <c r="A688" s="56"/>
      <c r="B688" s="56"/>
      <c r="C688" s="56"/>
      <c r="D688" s="56"/>
    </row>
    <row r="689" ht="15.75" customHeight="1">
      <c r="A689" s="56"/>
      <c r="B689" s="56"/>
      <c r="C689" s="56"/>
      <c r="D689" s="56"/>
    </row>
    <row r="690" ht="15.75" customHeight="1">
      <c r="A690" s="56"/>
      <c r="B690" s="56"/>
      <c r="C690" s="56"/>
      <c r="D690" s="56"/>
    </row>
    <row r="691" ht="15.75" customHeight="1">
      <c r="A691" s="56"/>
      <c r="B691" s="56"/>
      <c r="C691" s="56"/>
      <c r="D691" s="56"/>
    </row>
    <row r="692" ht="15.75" customHeight="1">
      <c r="A692" s="56"/>
      <c r="B692" s="56"/>
      <c r="C692" s="56"/>
      <c r="D692" s="56"/>
    </row>
    <row r="693" ht="15.75" customHeight="1">
      <c r="A693" s="56"/>
      <c r="B693" s="56"/>
      <c r="C693" s="56"/>
      <c r="D693" s="56"/>
    </row>
    <row r="694" ht="15.75" customHeight="1">
      <c r="A694" s="56"/>
      <c r="B694" s="56"/>
      <c r="C694" s="56"/>
      <c r="D694" s="56"/>
    </row>
    <row r="695" ht="15.75" customHeight="1">
      <c r="A695" s="56"/>
      <c r="B695" s="56"/>
      <c r="C695" s="56"/>
      <c r="D695" s="56"/>
    </row>
    <row r="696" ht="15.75" customHeight="1">
      <c r="A696" s="56"/>
      <c r="B696" s="56"/>
      <c r="C696" s="56"/>
      <c r="D696" s="56"/>
    </row>
    <row r="697" ht="15.75" customHeight="1">
      <c r="A697" s="56"/>
      <c r="B697" s="56"/>
      <c r="C697" s="56"/>
      <c r="D697" s="56"/>
    </row>
    <row r="698" ht="15.75" customHeight="1">
      <c r="A698" s="56"/>
      <c r="B698" s="56"/>
      <c r="C698" s="56"/>
      <c r="D698" s="56"/>
    </row>
    <row r="699" ht="15.75" customHeight="1">
      <c r="A699" s="56"/>
      <c r="B699" s="56"/>
      <c r="C699" s="56"/>
      <c r="D699" s="56"/>
    </row>
    <row r="700" ht="15.75" customHeight="1">
      <c r="A700" s="56"/>
      <c r="B700" s="56"/>
      <c r="C700" s="56"/>
      <c r="D700" s="56"/>
    </row>
    <row r="701" ht="15.75" customHeight="1">
      <c r="A701" s="56"/>
      <c r="B701" s="56"/>
      <c r="C701" s="56"/>
      <c r="D701" s="56"/>
    </row>
    <row r="702" ht="15.75" customHeight="1">
      <c r="A702" s="56"/>
      <c r="B702" s="56"/>
      <c r="C702" s="56"/>
      <c r="D702" s="56"/>
    </row>
    <row r="703" ht="15.75" customHeight="1">
      <c r="A703" s="56"/>
      <c r="B703" s="56"/>
      <c r="C703" s="56"/>
      <c r="D703" s="56"/>
    </row>
    <row r="704" ht="15.75" customHeight="1">
      <c r="A704" s="56"/>
      <c r="B704" s="56"/>
      <c r="C704" s="56"/>
      <c r="D704" s="56"/>
    </row>
    <row r="705" ht="15.75" customHeight="1">
      <c r="A705" s="56"/>
      <c r="B705" s="56"/>
      <c r="C705" s="56"/>
      <c r="D705" s="56"/>
    </row>
    <row r="706" ht="15.75" customHeight="1">
      <c r="A706" s="56"/>
      <c r="B706" s="56"/>
      <c r="C706" s="56"/>
      <c r="D706" s="56"/>
    </row>
    <row r="707" ht="15.75" customHeight="1">
      <c r="A707" s="56"/>
      <c r="B707" s="56"/>
      <c r="C707" s="56"/>
      <c r="D707" s="56"/>
    </row>
    <row r="708" ht="15.75" customHeight="1">
      <c r="A708" s="56"/>
      <c r="B708" s="56"/>
      <c r="C708" s="56"/>
      <c r="D708" s="56"/>
    </row>
    <row r="709" ht="15.75" customHeight="1">
      <c r="A709" s="56"/>
      <c r="B709" s="56"/>
      <c r="C709" s="56"/>
      <c r="D709" s="56"/>
    </row>
    <row r="710" ht="15.75" customHeight="1">
      <c r="A710" s="56"/>
      <c r="B710" s="56"/>
      <c r="C710" s="56"/>
      <c r="D710" s="56"/>
    </row>
    <row r="711" ht="15.75" customHeight="1">
      <c r="A711" s="56"/>
      <c r="B711" s="56"/>
      <c r="C711" s="56"/>
      <c r="D711" s="56"/>
    </row>
    <row r="712" ht="15.75" customHeight="1">
      <c r="A712" s="56"/>
      <c r="B712" s="56"/>
      <c r="C712" s="56"/>
      <c r="D712" s="56"/>
    </row>
    <row r="713" ht="15.75" customHeight="1">
      <c r="A713" s="56"/>
      <c r="B713" s="56"/>
      <c r="C713" s="56"/>
      <c r="D713" s="56"/>
    </row>
    <row r="714" ht="15.75" customHeight="1">
      <c r="A714" s="56"/>
      <c r="B714" s="56"/>
      <c r="C714" s="56"/>
      <c r="D714" s="56"/>
    </row>
    <row r="715" ht="15.75" customHeight="1">
      <c r="A715" s="56"/>
      <c r="B715" s="56"/>
      <c r="C715" s="56"/>
      <c r="D715" s="56"/>
    </row>
    <row r="716" ht="15.75" customHeight="1">
      <c r="A716" s="56"/>
      <c r="B716" s="56"/>
      <c r="C716" s="56"/>
      <c r="D716" s="56"/>
    </row>
    <row r="717" ht="15.75" customHeight="1">
      <c r="A717" s="56"/>
      <c r="B717" s="56"/>
      <c r="C717" s="56"/>
      <c r="D717" s="56"/>
    </row>
    <row r="718" ht="15.75" customHeight="1">
      <c r="A718" s="56"/>
      <c r="B718" s="56"/>
      <c r="C718" s="56"/>
      <c r="D718" s="56"/>
    </row>
    <row r="719" ht="15.75" customHeight="1">
      <c r="A719" s="56"/>
      <c r="B719" s="56"/>
      <c r="C719" s="56"/>
      <c r="D719" s="56"/>
    </row>
    <row r="720" ht="15.75" customHeight="1">
      <c r="A720" s="56"/>
      <c r="B720" s="56"/>
      <c r="C720" s="56"/>
      <c r="D720" s="56"/>
    </row>
    <row r="721" ht="15.75" customHeight="1">
      <c r="A721" s="56"/>
      <c r="B721" s="56"/>
      <c r="C721" s="56"/>
      <c r="D721" s="56"/>
    </row>
    <row r="722" ht="15.75" customHeight="1">
      <c r="A722" s="56"/>
      <c r="B722" s="56"/>
      <c r="C722" s="56"/>
      <c r="D722" s="56"/>
    </row>
    <row r="723" ht="15.75" customHeight="1">
      <c r="A723" s="56"/>
      <c r="B723" s="56"/>
      <c r="C723" s="56"/>
      <c r="D723" s="56"/>
    </row>
    <row r="724" ht="15.75" customHeight="1">
      <c r="A724" s="56"/>
      <c r="B724" s="56"/>
      <c r="C724" s="56"/>
      <c r="D724" s="56"/>
    </row>
    <row r="725" ht="15.75" customHeight="1">
      <c r="A725" s="56"/>
      <c r="B725" s="56"/>
      <c r="C725" s="56"/>
      <c r="D725" s="56"/>
    </row>
    <row r="726" ht="15.75" customHeight="1">
      <c r="A726" s="56"/>
      <c r="B726" s="56"/>
      <c r="C726" s="56"/>
      <c r="D726" s="56"/>
    </row>
    <row r="727" ht="15.75" customHeight="1">
      <c r="A727" s="56"/>
      <c r="B727" s="56"/>
      <c r="C727" s="56"/>
      <c r="D727" s="56"/>
    </row>
    <row r="728" ht="15.75" customHeight="1">
      <c r="A728" s="56"/>
      <c r="B728" s="56"/>
      <c r="C728" s="56"/>
      <c r="D728" s="56"/>
    </row>
    <row r="729" ht="15.75" customHeight="1">
      <c r="A729" s="56"/>
      <c r="B729" s="56"/>
      <c r="C729" s="56"/>
      <c r="D729" s="56"/>
    </row>
    <row r="730" ht="15.75" customHeight="1">
      <c r="A730" s="56"/>
      <c r="B730" s="56"/>
      <c r="C730" s="56"/>
      <c r="D730" s="56"/>
    </row>
    <row r="731" ht="15.75" customHeight="1">
      <c r="A731" s="56"/>
      <c r="B731" s="56"/>
      <c r="C731" s="56"/>
      <c r="D731" s="56"/>
    </row>
    <row r="732" ht="15.75" customHeight="1">
      <c r="A732" s="56"/>
      <c r="B732" s="56"/>
      <c r="C732" s="56"/>
      <c r="D732" s="56"/>
    </row>
    <row r="733" ht="15.75" customHeight="1">
      <c r="A733" s="56"/>
      <c r="B733" s="56"/>
      <c r="C733" s="56"/>
      <c r="D733" s="56"/>
    </row>
    <row r="734" ht="15.75" customHeight="1">
      <c r="A734" s="56"/>
      <c r="B734" s="56"/>
      <c r="C734" s="56"/>
      <c r="D734" s="56"/>
    </row>
    <row r="735" ht="15.75" customHeight="1">
      <c r="A735" s="56"/>
      <c r="B735" s="56"/>
      <c r="C735" s="56"/>
      <c r="D735" s="56"/>
    </row>
    <row r="736" ht="15.75" customHeight="1">
      <c r="A736" s="56"/>
      <c r="B736" s="56"/>
      <c r="C736" s="56"/>
      <c r="D736" s="56"/>
    </row>
    <row r="737" ht="15.75" customHeight="1">
      <c r="A737" s="56"/>
      <c r="B737" s="56"/>
      <c r="C737" s="56"/>
      <c r="D737" s="56"/>
    </row>
    <row r="738" ht="15.75" customHeight="1">
      <c r="A738" s="56"/>
      <c r="B738" s="56"/>
      <c r="C738" s="56"/>
      <c r="D738" s="56"/>
    </row>
    <row r="739" ht="15.75" customHeight="1">
      <c r="A739" s="56"/>
      <c r="B739" s="56"/>
      <c r="C739" s="56"/>
      <c r="D739" s="56"/>
    </row>
    <row r="740" ht="15.75" customHeight="1">
      <c r="A740" s="56"/>
      <c r="B740" s="56"/>
      <c r="C740" s="56"/>
      <c r="D740" s="56"/>
    </row>
    <row r="741" ht="15.75" customHeight="1">
      <c r="A741" s="56"/>
      <c r="B741" s="56"/>
      <c r="C741" s="56"/>
      <c r="D741" s="56"/>
    </row>
    <row r="742" ht="15.75" customHeight="1">
      <c r="A742" s="56"/>
      <c r="B742" s="56"/>
      <c r="C742" s="56"/>
      <c r="D742" s="56"/>
    </row>
    <row r="743" ht="15.75" customHeight="1">
      <c r="A743" s="56"/>
      <c r="B743" s="56"/>
      <c r="C743" s="56"/>
      <c r="D743" s="56"/>
    </row>
    <row r="744" ht="15.75" customHeight="1">
      <c r="A744" s="56"/>
      <c r="B744" s="56"/>
      <c r="C744" s="56"/>
      <c r="D744" s="56"/>
    </row>
    <row r="745" ht="15.75" customHeight="1">
      <c r="A745" s="56"/>
      <c r="B745" s="56"/>
      <c r="C745" s="56"/>
      <c r="D745" s="56"/>
    </row>
    <row r="746" ht="15.75" customHeight="1">
      <c r="A746" s="56"/>
      <c r="B746" s="56"/>
      <c r="C746" s="56"/>
      <c r="D746" s="56"/>
    </row>
    <row r="747" ht="15.75" customHeight="1">
      <c r="A747" s="56"/>
      <c r="B747" s="56"/>
      <c r="C747" s="56"/>
      <c r="D747" s="56"/>
    </row>
    <row r="748" ht="15.75" customHeight="1">
      <c r="A748" s="56"/>
      <c r="B748" s="56"/>
      <c r="C748" s="56"/>
      <c r="D748" s="56"/>
    </row>
    <row r="749" ht="15.75" customHeight="1">
      <c r="A749" s="56"/>
      <c r="B749" s="56"/>
      <c r="C749" s="56"/>
      <c r="D749" s="56"/>
    </row>
    <row r="750" ht="15.75" customHeight="1">
      <c r="A750" s="56"/>
      <c r="B750" s="56"/>
      <c r="C750" s="56"/>
      <c r="D750" s="56"/>
    </row>
    <row r="751" ht="15.75" customHeight="1">
      <c r="A751" s="56"/>
      <c r="B751" s="56"/>
      <c r="C751" s="56"/>
      <c r="D751" s="56"/>
    </row>
    <row r="752" ht="15.75" customHeight="1">
      <c r="A752" s="56"/>
      <c r="B752" s="56"/>
      <c r="C752" s="56"/>
      <c r="D752" s="56"/>
    </row>
    <row r="753" ht="15.75" customHeight="1">
      <c r="A753" s="56"/>
      <c r="B753" s="56"/>
      <c r="C753" s="56"/>
      <c r="D753" s="56"/>
    </row>
    <row r="754" ht="15.75" customHeight="1">
      <c r="A754" s="56"/>
      <c r="B754" s="56"/>
      <c r="C754" s="56"/>
      <c r="D754" s="56"/>
    </row>
    <row r="755" ht="15.75" customHeight="1">
      <c r="A755" s="56"/>
      <c r="B755" s="56"/>
      <c r="C755" s="56"/>
      <c r="D755" s="56"/>
    </row>
    <row r="756" ht="15.75" customHeight="1">
      <c r="A756" s="56"/>
      <c r="B756" s="56"/>
      <c r="C756" s="56"/>
      <c r="D756" s="56"/>
    </row>
    <row r="757" ht="15.75" customHeight="1">
      <c r="A757" s="56"/>
      <c r="B757" s="56"/>
      <c r="C757" s="56"/>
      <c r="D757" s="56"/>
    </row>
    <row r="758" ht="15.75" customHeight="1">
      <c r="A758" s="56"/>
      <c r="B758" s="56"/>
      <c r="C758" s="56"/>
      <c r="D758" s="56"/>
    </row>
    <row r="759" ht="15.75" customHeight="1">
      <c r="A759" s="56"/>
      <c r="B759" s="56"/>
      <c r="C759" s="56"/>
      <c r="D759" s="56"/>
    </row>
    <row r="760" ht="15.75" customHeight="1">
      <c r="A760" s="56"/>
      <c r="B760" s="56"/>
      <c r="C760" s="56"/>
      <c r="D760" s="56"/>
    </row>
    <row r="761" ht="15.75" customHeight="1">
      <c r="A761" s="56"/>
      <c r="B761" s="56"/>
      <c r="C761" s="56"/>
      <c r="D761" s="56"/>
    </row>
    <row r="762" ht="15.75" customHeight="1">
      <c r="A762" s="56"/>
      <c r="B762" s="56"/>
      <c r="C762" s="56"/>
      <c r="D762" s="56"/>
    </row>
    <row r="763" ht="15.75" customHeight="1">
      <c r="A763" s="56"/>
      <c r="B763" s="56"/>
      <c r="C763" s="56"/>
      <c r="D763" s="56"/>
    </row>
    <row r="764" ht="15.75" customHeight="1">
      <c r="A764" s="56"/>
      <c r="B764" s="56"/>
      <c r="C764" s="56"/>
      <c r="D764" s="56"/>
    </row>
    <row r="765" ht="15.75" customHeight="1">
      <c r="A765" s="56"/>
      <c r="B765" s="56"/>
      <c r="C765" s="56"/>
      <c r="D765" s="56"/>
    </row>
    <row r="766" ht="15.75" customHeight="1">
      <c r="A766" s="56"/>
      <c r="B766" s="56"/>
      <c r="C766" s="56"/>
      <c r="D766" s="56"/>
    </row>
    <row r="767" ht="15.75" customHeight="1">
      <c r="A767" s="56"/>
      <c r="B767" s="56"/>
      <c r="C767" s="56"/>
      <c r="D767" s="56"/>
    </row>
    <row r="768" ht="15.75" customHeight="1">
      <c r="A768" s="56"/>
      <c r="B768" s="56"/>
      <c r="C768" s="56"/>
      <c r="D768" s="56"/>
    </row>
    <row r="769" ht="15.75" customHeight="1">
      <c r="A769" s="56"/>
      <c r="B769" s="56"/>
      <c r="C769" s="56"/>
      <c r="D769" s="56"/>
    </row>
    <row r="770" ht="15.75" customHeight="1">
      <c r="A770" s="56"/>
      <c r="B770" s="56"/>
      <c r="C770" s="56"/>
      <c r="D770" s="56"/>
    </row>
    <row r="771" ht="15.75" customHeight="1">
      <c r="A771" s="56"/>
      <c r="B771" s="56"/>
      <c r="C771" s="56"/>
      <c r="D771" s="56"/>
    </row>
    <row r="772" ht="15.75" customHeight="1">
      <c r="A772" s="56"/>
      <c r="B772" s="56"/>
      <c r="C772" s="56"/>
      <c r="D772" s="56"/>
    </row>
    <row r="773" ht="15.75" customHeight="1">
      <c r="A773" s="56"/>
      <c r="B773" s="56"/>
      <c r="C773" s="56"/>
      <c r="D773" s="56"/>
    </row>
    <row r="774" ht="15.75" customHeight="1">
      <c r="A774" s="56"/>
      <c r="B774" s="56"/>
      <c r="C774" s="56"/>
      <c r="D774" s="56"/>
    </row>
    <row r="775" ht="15.75" customHeight="1">
      <c r="A775" s="56"/>
      <c r="B775" s="56"/>
      <c r="C775" s="56"/>
      <c r="D775" s="56"/>
    </row>
    <row r="776" ht="15.75" customHeight="1">
      <c r="A776" s="56"/>
      <c r="B776" s="56"/>
      <c r="C776" s="56"/>
      <c r="D776" s="56"/>
    </row>
    <row r="777" ht="15.75" customHeight="1">
      <c r="A777" s="56"/>
      <c r="B777" s="56"/>
      <c r="C777" s="56"/>
      <c r="D777" s="56"/>
    </row>
    <row r="778" ht="15.75" customHeight="1">
      <c r="A778" s="56"/>
      <c r="B778" s="56"/>
      <c r="C778" s="56"/>
      <c r="D778" s="56"/>
    </row>
    <row r="779" ht="15.75" customHeight="1">
      <c r="A779" s="56"/>
      <c r="B779" s="56"/>
      <c r="C779" s="56"/>
      <c r="D779" s="56"/>
    </row>
    <row r="780" ht="15.75" customHeight="1">
      <c r="A780" s="56"/>
      <c r="B780" s="56"/>
      <c r="C780" s="56"/>
      <c r="D780" s="56"/>
    </row>
    <row r="781" ht="15.75" customHeight="1">
      <c r="A781" s="56"/>
      <c r="B781" s="56"/>
      <c r="C781" s="56"/>
      <c r="D781" s="56"/>
    </row>
    <row r="782" ht="15.75" customHeight="1">
      <c r="A782" s="56"/>
      <c r="B782" s="56"/>
      <c r="C782" s="56"/>
      <c r="D782" s="56"/>
    </row>
    <row r="783" ht="15.75" customHeight="1">
      <c r="A783" s="56"/>
      <c r="B783" s="56"/>
      <c r="C783" s="56"/>
      <c r="D783" s="56"/>
    </row>
    <row r="784" ht="15.75" customHeight="1">
      <c r="A784" s="56"/>
      <c r="B784" s="56"/>
      <c r="C784" s="56"/>
      <c r="D784" s="56"/>
    </row>
    <row r="785" ht="15.75" customHeight="1">
      <c r="A785" s="56"/>
      <c r="B785" s="56"/>
      <c r="C785" s="56"/>
      <c r="D785" s="56"/>
    </row>
    <row r="786" ht="15.75" customHeight="1">
      <c r="A786" s="56"/>
      <c r="B786" s="56"/>
      <c r="C786" s="56"/>
      <c r="D786" s="56"/>
    </row>
    <row r="787" ht="15.75" customHeight="1">
      <c r="A787" s="56"/>
      <c r="B787" s="56"/>
      <c r="C787" s="56"/>
      <c r="D787" s="56"/>
    </row>
    <row r="788" ht="15.75" customHeight="1">
      <c r="A788" s="56"/>
      <c r="B788" s="56"/>
      <c r="C788" s="56"/>
      <c r="D788" s="56"/>
    </row>
    <row r="789" ht="15.75" customHeight="1">
      <c r="A789" s="56"/>
      <c r="B789" s="56"/>
      <c r="C789" s="56"/>
      <c r="D789" s="56"/>
    </row>
    <row r="790" ht="15.75" customHeight="1">
      <c r="A790" s="56"/>
      <c r="B790" s="56"/>
      <c r="C790" s="56"/>
      <c r="D790" s="56"/>
    </row>
    <row r="791" ht="15.75" customHeight="1">
      <c r="A791" s="56"/>
      <c r="B791" s="56"/>
      <c r="C791" s="56"/>
      <c r="D791" s="56"/>
    </row>
    <row r="792" ht="15.75" customHeight="1">
      <c r="A792" s="56"/>
      <c r="B792" s="56"/>
      <c r="C792" s="56"/>
      <c r="D792" s="56"/>
    </row>
    <row r="793" ht="15.75" customHeight="1">
      <c r="A793" s="56"/>
      <c r="B793" s="56"/>
      <c r="C793" s="56"/>
      <c r="D793" s="56"/>
    </row>
    <row r="794" ht="15.75" customHeight="1">
      <c r="A794" s="56"/>
      <c r="B794" s="56"/>
      <c r="C794" s="56"/>
      <c r="D794" s="56"/>
    </row>
    <row r="795" ht="15.75" customHeight="1">
      <c r="A795" s="56"/>
      <c r="B795" s="56"/>
      <c r="C795" s="56"/>
      <c r="D795" s="56"/>
    </row>
    <row r="796" ht="15.75" customHeight="1">
      <c r="A796" s="56"/>
      <c r="B796" s="56"/>
      <c r="C796" s="56"/>
      <c r="D796" s="56"/>
    </row>
    <row r="797" ht="15.75" customHeight="1">
      <c r="A797" s="56"/>
      <c r="B797" s="56"/>
      <c r="C797" s="56"/>
      <c r="D797" s="56"/>
    </row>
    <row r="798" ht="15.75" customHeight="1">
      <c r="A798" s="56"/>
      <c r="B798" s="56"/>
      <c r="C798" s="56"/>
      <c r="D798" s="56"/>
    </row>
    <row r="799" ht="15.75" customHeight="1">
      <c r="A799" s="56"/>
      <c r="B799" s="56"/>
      <c r="C799" s="56"/>
      <c r="D799" s="56"/>
    </row>
    <row r="800" ht="15.75" customHeight="1">
      <c r="A800" s="56"/>
      <c r="B800" s="56"/>
      <c r="C800" s="56"/>
      <c r="D800" s="56"/>
    </row>
    <row r="801" ht="15.75" customHeight="1">
      <c r="A801" s="56"/>
      <c r="B801" s="56"/>
      <c r="C801" s="56"/>
      <c r="D801" s="56"/>
    </row>
    <row r="802" ht="15.75" customHeight="1">
      <c r="A802" s="56"/>
      <c r="B802" s="56"/>
      <c r="C802" s="56"/>
      <c r="D802" s="56"/>
    </row>
    <row r="803" ht="15.75" customHeight="1">
      <c r="A803" s="56"/>
      <c r="B803" s="56"/>
      <c r="C803" s="56"/>
      <c r="D803" s="56"/>
    </row>
    <row r="804" ht="15.75" customHeight="1">
      <c r="A804" s="56"/>
      <c r="B804" s="56"/>
      <c r="C804" s="56"/>
      <c r="D804" s="56"/>
    </row>
    <row r="805" ht="15.75" customHeight="1">
      <c r="A805" s="56"/>
      <c r="B805" s="56"/>
      <c r="C805" s="56"/>
      <c r="D805" s="56"/>
    </row>
    <row r="806" ht="15.75" customHeight="1">
      <c r="A806" s="56"/>
      <c r="B806" s="56"/>
      <c r="C806" s="56"/>
      <c r="D806" s="56"/>
    </row>
    <row r="807" ht="15.75" customHeight="1">
      <c r="A807" s="56"/>
      <c r="B807" s="56"/>
      <c r="C807" s="56"/>
      <c r="D807" s="56"/>
    </row>
    <row r="808" ht="15.75" customHeight="1">
      <c r="A808" s="56"/>
      <c r="B808" s="56"/>
      <c r="C808" s="56"/>
      <c r="D808" s="56"/>
    </row>
    <row r="809" ht="15.75" customHeight="1">
      <c r="A809" s="56"/>
      <c r="B809" s="56"/>
      <c r="C809" s="56"/>
      <c r="D809" s="56"/>
    </row>
    <row r="810" ht="15.75" customHeight="1">
      <c r="A810" s="56"/>
      <c r="B810" s="56"/>
      <c r="C810" s="56"/>
      <c r="D810" s="56"/>
    </row>
    <row r="811" ht="15.75" customHeight="1">
      <c r="A811" s="56"/>
      <c r="B811" s="56"/>
      <c r="C811" s="56"/>
      <c r="D811" s="56"/>
    </row>
    <row r="812" ht="15.75" customHeight="1">
      <c r="A812" s="56"/>
      <c r="B812" s="56"/>
      <c r="C812" s="56"/>
      <c r="D812" s="56"/>
    </row>
    <row r="813" ht="15.75" customHeight="1">
      <c r="A813" s="56"/>
      <c r="B813" s="56"/>
      <c r="C813" s="56"/>
      <c r="D813" s="56"/>
    </row>
    <row r="814" ht="15.75" customHeight="1">
      <c r="A814" s="56"/>
      <c r="B814" s="56"/>
      <c r="C814" s="56"/>
      <c r="D814" s="56"/>
    </row>
    <row r="815" ht="15.75" customHeight="1">
      <c r="A815" s="56"/>
      <c r="B815" s="56"/>
      <c r="C815" s="56"/>
      <c r="D815" s="56"/>
    </row>
    <row r="816" ht="15.75" customHeight="1">
      <c r="A816" s="56"/>
      <c r="B816" s="56"/>
      <c r="C816" s="56"/>
      <c r="D816" s="56"/>
    </row>
    <row r="817" ht="15.75" customHeight="1">
      <c r="A817" s="56"/>
      <c r="B817" s="56"/>
      <c r="C817" s="56"/>
      <c r="D817" s="56"/>
    </row>
    <row r="818" ht="15.75" customHeight="1">
      <c r="A818" s="56"/>
      <c r="B818" s="56"/>
      <c r="C818" s="56"/>
      <c r="D818" s="56"/>
    </row>
    <row r="819" ht="15.75" customHeight="1">
      <c r="A819" s="56"/>
      <c r="B819" s="56"/>
      <c r="C819" s="56"/>
      <c r="D819" s="56"/>
    </row>
    <row r="820" ht="15.75" customHeight="1">
      <c r="A820" s="56"/>
      <c r="B820" s="56"/>
      <c r="C820" s="56"/>
      <c r="D820" s="56"/>
    </row>
    <row r="821" ht="15.75" customHeight="1">
      <c r="A821" s="56"/>
      <c r="B821" s="56"/>
      <c r="C821" s="56"/>
      <c r="D821" s="56"/>
    </row>
    <row r="822" ht="15.75" customHeight="1">
      <c r="A822" s="56"/>
      <c r="B822" s="56"/>
      <c r="C822" s="56"/>
      <c r="D822" s="56"/>
    </row>
    <row r="823" ht="15.75" customHeight="1">
      <c r="A823" s="56"/>
      <c r="B823" s="56"/>
      <c r="C823" s="56"/>
      <c r="D823" s="56"/>
    </row>
    <row r="824" ht="15.75" customHeight="1">
      <c r="A824" s="56"/>
      <c r="B824" s="56"/>
      <c r="C824" s="56"/>
      <c r="D824" s="56"/>
    </row>
    <row r="825" ht="15.75" customHeight="1">
      <c r="A825" s="56"/>
      <c r="B825" s="56"/>
      <c r="C825" s="56"/>
      <c r="D825" s="56"/>
    </row>
    <row r="826" ht="15.75" customHeight="1">
      <c r="A826" s="56"/>
      <c r="B826" s="56"/>
      <c r="C826" s="56"/>
      <c r="D826" s="56"/>
    </row>
    <row r="827" ht="15.75" customHeight="1">
      <c r="A827" s="56"/>
      <c r="B827" s="56"/>
      <c r="C827" s="56"/>
      <c r="D827" s="56"/>
    </row>
    <row r="828" ht="15.75" customHeight="1">
      <c r="A828" s="56"/>
      <c r="B828" s="56"/>
      <c r="C828" s="56"/>
      <c r="D828" s="56"/>
    </row>
    <row r="829" ht="15.75" customHeight="1">
      <c r="A829" s="56"/>
      <c r="B829" s="56"/>
      <c r="C829" s="56"/>
      <c r="D829" s="56"/>
    </row>
    <row r="830" ht="15.75" customHeight="1">
      <c r="A830" s="56"/>
      <c r="B830" s="56"/>
      <c r="C830" s="56"/>
      <c r="D830" s="56"/>
    </row>
    <row r="831" ht="15.75" customHeight="1">
      <c r="A831" s="56"/>
      <c r="B831" s="56"/>
      <c r="C831" s="56"/>
      <c r="D831" s="56"/>
    </row>
    <row r="832" ht="15.75" customHeight="1">
      <c r="A832" s="56"/>
      <c r="B832" s="56"/>
      <c r="C832" s="56"/>
      <c r="D832" s="56"/>
    </row>
    <row r="833" ht="15.75" customHeight="1">
      <c r="A833" s="56"/>
      <c r="B833" s="56"/>
      <c r="C833" s="56"/>
      <c r="D833" s="56"/>
    </row>
    <row r="834" ht="15.75" customHeight="1">
      <c r="A834" s="56"/>
      <c r="B834" s="56"/>
      <c r="C834" s="56"/>
      <c r="D834" s="56"/>
    </row>
    <row r="835" ht="15.75" customHeight="1">
      <c r="A835" s="56"/>
      <c r="B835" s="56"/>
      <c r="C835" s="56"/>
      <c r="D835" s="56"/>
    </row>
    <row r="836" ht="15.75" customHeight="1">
      <c r="A836" s="56"/>
      <c r="B836" s="56"/>
      <c r="C836" s="56"/>
      <c r="D836" s="56"/>
    </row>
    <row r="837" ht="15.75" customHeight="1">
      <c r="A837" s="56"/>
      <c r="B837" s="56"/>
      <c r="C837" s="56"/>
      <c r="D837" s="56"/>
    </row>
    <row r="838" ht="15.75" customHeight="1">
      <c r="A838" s="56"/>
      <c r="B838" s="56"/>
      <c r="C838" s="56"/>
      <c r="D838" s="56"/>
    </row>
    <row r="839" ht="15.75" customHeight="1">
      <c r="A839" s="56"/>
      <c r="B839" s="56"/>
      <c r="C839" s="56"/>
      <c r="D839" s="56"/>
    </row>
    <row r="840" ht="15.75" customHeight="1">
      <c r="A840" s="56"/>
      <c r="B840" s="56"/>
      <c r="C840" s="56"/>
      <c r="D840" s="56"/>
    </row>
    <row r="841" ht="15.75" customHeight="1">
      <c r="A841" s="56"/>
      <c r="B841" s="56"/>
      <c r="C841" s="56"/>
      <c r="D841" s="56"/>
    </row>
    <row r="842" ht="15.75" customHeight="1">
      <c r="A842" s="56"/>
      <c r="B842" s="56"/>
      <c r="C842" s="56"/>
      <c r="D842" s="56"/>
    </row>
    <row r="843" ht="15.75" customHeight="1">
      <c r="A843" s="56"/>
      <c r="B843" s="56"/>
      <c r="C843" s="56"/>
      <c r="D843" s="56"/>
    </row>
    <row r="844" ht="15.75" customHeight="1">
      <c r="A844" s="56"/>
      <c r="B844" s="56"/>
      <c r="C844" s="56"/>
      <c r="D844" s="56"/>
    </row>
    <row r="845" ht="15.75" customHeight="1">
      <c r="A845" s="56"/>
      <c r="B845" s="56"/>
      <c r="C845" s="56"/>
      <c r="D845" s="56"/>
    </row>
    <row r="846" ht="15.75" customHeight="1">
      <c r="A846" s="56"/>
      <c r="B846" s="56"/>
      <c r="C846" s="56"/>
      <c r="D846" s="56"/>
    </row>
    <row r="847" ht="15.75" customHeight="1">
      <c r="A847" s="56"/>
      <c r="B847" s="56"/>
      <c r="C847" s="56"/>
      <c r="D847" s="56"/>
    </row>
    <row r="848" ht="15.75" customHeight="1">
      <c r="A848" s="56"/>
      <c r="B848" s="56"/>
      <c r="C848" s="56"/>
      <c r="D848" s="56"/>
    </row>
    <row r="849" ht="15.75" customHeight="1">
      <c r="A849" s="56"/>
      <c r="B849" s="56"/>
      <c r="C849" s="56"/>
      <c r="D849" s="56"/>
    </row>
    <row r="850" ht="15.75" customHeight="1">
      <c r="A850" s="56"/>
      <c r="B850" s="56"/>
      <c r="C850" s="56"/>
      <c r="D850" s="56"/>
    </row>
    <row r="851" ht="15.75" customHeight="1">
      <c r="A851" s="56"/>
      <c r="B851" s="56"/>
      <c r="C851" s="56"/>
      <c r="D851" s="56"/>
    </row>
    <row r="852" ht="15.75" customHeight="1">
      <c r="A852" s="56"/>
      <c r="B852" s="56"/>
      <c r="C852" s="56"/>
      <c r="D852" s="56"/>
    </row>
    <row r="853" ht="15.75" customHeight="1">
      <c r="A853" s="56"/>
      <c r="B853" s="56"/>
      <c r="C853" s="56"/>
      <c r="D853" s="56"/>
    </row>
    <row r="854" ht="15.75" customHeight="1">
      <c r="A854" s="56"/>
      <c r="B854" s="56"/>
      <c r="C854" s="56"/>
      <c r="D854" s="56"/>
    </row>
    <row r="855" ht="15.75" customHeight="1">
      <c r="A855" s="56"/>
      <c r="B855" s="56"/>
      <c r="C855" s="56"/>
      <c r="D855" s="56"/>
    </row>
    <row r="856" ht="15.75" customHeight="1">
      <c r="A856" s="56"/>
      <c r="B856" s="56"/>
      <c r="C856" s="56"/>
      <c r="D856" s="56"/>
    </row>
    <row r="857" ht="15.75" customHeight="1">
      <c r="A857" s="56"/>
      <c r="B857" s="56"/>
      <c r="C857" s="56"/>
      <c r="D857" s="56"/>
    </row>
    <row r="858" ht="15.75" customHeight="1">
      <c r="A858" s="56"/>
      <c r="B858" s="56"/>
      <c r="C858" s="56"/>
      <c r="D858" s="56"/>
    </row>
    <row r="859" ht="15.75" customHeight="1">
      <c r="A859" s="56"/>
      <c r="B859" s="56"/>
      <c r="C859" s="56"/>
      <c r="D859" s="56"/>
    </row>
    <row r="860" ht="15.75" customHeight="1">
      <c r="A860" s="56"/>
      <c r="B860" s="56"/>
      <c r="C860" s="56"/>
      <c r="D860" s="56"/>
    </row>
    <row r="861" ht="15.75" customHeight="1">
      <c r="A861" s="56"/>
      <c r="B861" s="56"/>
      <c r="C861" s="56"/>
      <c r="D861" s="56"/>
    </row>
    <row r="862" ht="15.75" customHeight="1">
      <c r="A862" s="56"/>
      <c r="B862" s="56"/>
      <c r="C862" s="56"/>
      <c r="D862" s="56"/>
    </row>
    <row r="863" ht="15.75" customHeight="1">
      <c r="A863" s="56"/>
      <c r="B863" s="56"/>
      <c r="C863" s="56"/>
      <c r="D863" s="56"/>
    </row>
    <row r="864" ht="15.75" customHeight="1">
      <c r="A864" s="56"/>
      <c r="B864" s="56"/>
      <c r="C864" s="56"/>
      <c r="D864" s="56"/>
    </row>
    <row r="865" ht="15.75" customHeight="1">
      <c r="A865" s="56"/>
      <c r="B865" s="56"/>
      <c r="C865" s="56"/>
      <c r="D865" s="56"/>
    </row>
    <row r="866" ht="15.75" customHeight="1">
      <c r="A866" s="56"/>
      <c r="B866" s="56"/>
      <c r="C866" s="56"/>
      <c r="D866" s="56"/>
    </row>
    <row r="867" ht="15.75" customHeight="1">
      <c r="A867" s="56"/>
      <c r="B867" s="56"/>
      <c r="C867" s="56"/>
      <c r="D867" s="56"/>
    </row>
    <row r="868" ht="15.75" customHeight="1">
      <c r="A868" s="56"/>
      <c r="B868" s="56"/>
      <c r="C868" s="56"/>
      <c r="D868" s="56"/>
    </row>
    <row r="869" ht="15.75" customHeight="1">
      <c r="A869" s="56"/>
      <c r="B869" s="56"/>
      <c r="C869" s="56"/>
      <c r="D869" s="56"/>
    </row>
    <row r="870" ht="15.75" customHeight="1">
      <c r="A870" s="56"/>
      <c r="B870" s="56"/>
      <c r="C870" s="56"/>
      <c r="D870" s="56"/>
    </row>
    <row r="871" ht="15.75" customHeight="1">
      <c r="A871" s="56"/>
      <c r="B871" s="56"/>
      <c r="C871" s="56"/>
      <c r="D871" s="56"/>
    </row>
    <row r="872" ht="15.75" customHeight="1">
      <c r="A872" s="56"/>
      <c r="B872" s="56"/>
      <c r="C872" s="56"/>
      <c r="D872" s="56"/>
    </row>
    <row r="873" ht="15.75" customHeight="1">
      <c r="A873" s="56"/>
      <c r="B873" s="56"/>
      <c r="C873" s="56"/>
      <c r="D873" s="56"/>
    </row>
    <row r="874" ht="15.75" customHeight="1">
      <c r="A874" s="56"/>
      <c r="B874" s="56"/>
      <c r="C874" s="56"/>
      <c r="D874" s="56"/>
    </row>
    <row r="875" ht="15.75" customHeight="1">
      <c r="A875" s="56"/>
      <c r="B875" s="56"/>
      <c r="C875" s="56"/>
      <c r="D875" s="56"/>
    </row>
    <row r="876" ht="15.75" customHeight="1">
      <c r="A876" s="56"/>
      <c r="B876" s="56"/>
      <c r="C876" s="56"/>
      <c r="D876" s="56"/>
    </row>
    <row r="877" ht="15.75" customHeight="1">
      <c r="A877" s="56"/>
      <c r="B877" s="56"/>
      <c r="C877" s="56"/>
      <c r="D877" s="56"/>
    </row>
    <row r="878" ht="15.75" customHeight="1">
      <c r="A878" s="56"/>
      <c r="B878" s="56"/>
      <c r="C878" s="56"/>
      <c r="D878" s="56"/>
    </row>
    <row r="879" ht="15.75" customHeight="1">
      <c r="A879" s="56"/>
      <c r="B879" s="56"/>
      <c r="C879" s="56"/>
      <c r="D879" s="56"/>
    </row>
    <row r="880" ht="15.75" customHeight="1">
      <c r="A880" s="56"/>
      <c r="B880" s="56"/>
      <c r="C880" s="56"/>
      <c r="D880" s="56"/>
    </row>
    <row r="881" ht="15.75" customHeight="1">
      <c r="A881" s="56"/>
      <c r="B881" s="56"/>
      <c r="C881" s="56"/>
      <c r="D881" s="56"/>
    </row>
    <row r="882" ht="15.75" customHeight="1">
      <c r="A882" s="56"/>
      <c r="B882" s="56"/>
      <c r="C882" s="56"/>
      <c r="D882" s="56"/>
    </row>
    <row r="883" ht="15.75" customHeight="1">
      <c r="A883" s="56"/>
      <c r="B883" s="56"/>
      <c r="C883" s="56"/>
      <c r="D883" s="56"/>
    </row>
    <row r="884" ht="15.75" customHeight="1">
      <c r="A884" s="56"/>
      <c r="B884" s="56"/>
      <c r="C884" s="56"/>
      <c r="D884" s="56"/>
    </row>
    <row r="885" ht="15.75" customHeight="1">
      <c r="A885" s="56"/>
      <c r="B885" s="56"/>
      <c r="C885" s="56"/>
      <c r="D885" s="56"/>
    </row>
    <row r="886" ht="15.75" customHeight="1">
      <c r="A886" s="56"/>
      <c r="B886" s="56"/>
      <c r="C886" s="56"/>
      <c r="D886" s="56"/>
    </row>
    <row r="887" ht="15.75" customHeight="1">
      <c r="A887" s="56"/>
      <c r="B887" s="56"/>
      <c r="C887" s="56"/>
      <c r="D887" s="56"/>
    </row>
    <row r="888" ht="15.75" customHeight="1">
      <c r="A888" s="56"/>
      <c r="B888" s="56"/>
      <c r="C888" s="56"/>
      <c r="D888" s="56"/>
    </row>
    <row r="889" ht="15.75" customHeight="1">
      <c r="A889" s="56"/>
      <c r="B889" s="56"/>
      <c r="C889" s="56"/>
      <c r="D889" s="56"/>
    </row>
    <row r="890" ht="15.75" customHeight="1">
      <c r="A890" s="56"/>
      <c r="B890" s="56"/>
      <c r="C890" s="56"/>
      <c r="D890" s="56"/>
    </row>
    <row r="891" ht="15.75" customHeight="1">
      <c r="A891" s="56"/>
      <c r="B891" s="56"/>
      <c r="C891" s="56"/>
      <c r="D891" s="56"/>
    </row>
    <row r="892" ht="15.75" customHeight="1">
      <c r="A892" s="56"/>
      <c r="B892" s="56"/>
      <c r="C892" s="56"/>
      <c r="D892" s="56"/>
    </row>
    <row r="893" ht="15.75" customHeight="1">
      <c r="A893" s="56"/>
      <c r="B893" s="56"/>
      <c r="C893" s="56"/>
      <c r="D893" s="56"/>
    </row>
    <row r="894" ht="15.75" customHeight="1">
      <c r="A894" s="56"/>
      <c r="B894" s="56"/>
      <c r="C894" s="56"/>
      <c r="D894" s="56"/>
    </row>
    <row r="895" ht="15.75" customHeight="1">
      <c r="A895" s="56"/>
      <c r="B895" s="56"/>
      <c r="C895" s="56"/>
      <c r="D895" s="56"/>
    </row>
    <row r="896" ht="15.75" customHeight="1">
      <c r="A896" s="56"/>
      <c r="B896" s="56"/>
      <c r="C896" s="56"/>
      <c r="D896" s="56"/>
    </row>
    <row r="897" ht="15.75" customHeight="1">
      <c r="A897" s="56"/>
      <c r="B897" s="56"/>
      <c r="C897" s="56"/>
      <c r="D897" s="56"/>
    </row>
    <row r="898" ht="15.75" customHeight="1">
      <c r="A898" s="56"/>
      <c r="B898" s="56"/>
      <c r="C898" s="56"/>
      <c r="D898" s="56"/>
    </row>
    <row r="899" ht="15.75" customHeight="1">
      <c r="A899" s="56"/>
      <c r="B899" s="56"/>
      <c r="C899" s="56"/>
      <c r="D899" s="56"/>
    </row>
    <row r="900" ht="15.75" customHeight="1">
      <c r="A900" s="56"/>
      <c r="B900" s="56"/>
      <c r="C900" s="56"/>
      <c r="D900" s="56"/>
    </row>
    <row r="901" ht="15.75" customHeight="1">
      <c r="A901" s="56"/>
      <c r="B901" s="56"/>
      <c r="C901" s="56"/>
      <c r="D901" s="56"/>
    </row>
    <row r="902" ht="15.75" customHeight="1">
      <c r="A902" s="56"/>
      <c r="B902" s="56"/>
      <c r="C902" s="56"/>
      <c r="D902" s="56"/>
    </row>
    <row r="903" ht="15.75" customHeight="1">
      <c r="A903" s="56"/>
      <c r="B903" s="56"/>
      <c r="C903" s="56"/>
      <c r="D903" s="56"/>
    </row>
    <row r="904" ht="15.75" customHeight="1">
      <c r="A904" s="56"/>
      <c r="B904" s="56"/>
      <c r="C904" s="56"/>
      <c r="D904" s="56"/>
    </row>
    <row r="905" ht="15.75" customHeight="1">
      <c r="A905" s="56"/>
      <c r="B905" s="56"/>
      <c r="C905" s="56"/>
      <c r="D905" s="56"/>
    </row>
    <row r="906" ht="15.75" customHeight="1">
      <c r="A906" s="56"/>
      <c r="B906" s="56"/>
      <c r="C906" s="56"/>
      <c r="D906" s="56"/>
    </row>
    <row r="907" ht="15.75" customHeight="1">
      <c r="A907" s="56"/>
      <c r="B907" s="56"/>
      <c r="C907" s="56"/>
      <c r="D907" s="56"/>
    </row>
    <row r="908" ht="15.75" customHeight="1">
      <c r="A908" s="56"/>
      <c r="B908" s="56"/>
      <c r="C908" s="56"/>
      <c r="D908" s="56"/>
    </row>
    <row r="909" ht="15.75" customHeight="1">
      <c r="A909" s="56"/>
      <c r="B909" s="56"/>
      <c r="C909" s="56"/>
      <c r="D909" s="56"/>
    </row>
    <row r="910" ht="15.75" customHeight="1">
      <c r="A910" s="56"/>
      <c r="B910" s="56"/>
      <c r="C910" s="56"/>
      <c r="D910" s="56"/>
    </row>
    <row r="911" ht="15.75" customHeight="1">
      <c r="A911" s="56"/>
      <c r="B911" s="56"/>
      <c r="C911" s="56"/>
      <c r="D911" s="56"/>
    </row>
    <row r="912" ht="15.75" customHeight="1">
      <c r="A912" s="56"/>
      <c r="B912" s="56"/>
      <c r="C912" s="56"/>
      <c r="D912" s="56"/>
    </row>
    <row r="913" ht="15.75" customHeight="1">
      <c r="A913" s="56"/>
      <c r="B913" s="56"/>
      <c r="C913" s="56"/>
      <c r="D913" s="56"/>
    </row>
    <row r="914" ht="15.75" customHeight="1">
      <c r="A914" s="56"/>
      <c r="B914" s="56"/>
      <c r="C914" s="56"/>
      <c r="D914" s="56"/>
    </row>
    <row r="915" ht="15.75" customHeight="1">
      <c r="A915" s="56"/>
      <c r="B915" s="56"/>
      <c r="C915" s="56"/>
      <c r="D915" s="56"/>
    </row>
    <row r="916" ht="15.75" customHeight="1">
      <c r="A916" s="56"/>
      <c r="B916" s="56"/>
      <c r="C916" s="56"/>
      <c r="D916" s="56"/>
    </row>
    <row r="917" ht="15.75" customHeight="1">
      <c r="A917" s="56"/>
      <c r="B917" s="56"/>
      <c r="C917" s="56"/>
      <c r="D917" s="56"/>
    </row>
    <row r="918" ht="15.75" customHeight="1">
      <c r="A918" s="56"/>
      <c r="B918" s="56"/>
      <c r="C918" s="56"/>
      <c r="D918" s="56"/>
    </row>
    <row r="919" ht="15.75" customHeight="1">
      <c r="A919" s="56"/>
      <c r="B919" s="56"/>
      <c r="C919" s="56"/>
      <c r="D919" s="56"/>
    </row>
    <row r="920" ht="15.75" customHeight="1">
      <c r="A920" s="56"/>
      <c r="B920" s="56"/>
      <c r="C920" s="56"/>
      <c r="D920" s="56"/>
    </row>
    <row r="921" ht="15.75" customHeight="1">
      <c r="A921" s="56"/>
      <c r="B921" s="56"/>
      <c r="C921" s="56"/>
      <c r="D921" s="56"/>
    </row>
    <row r="922" ht="15.75" customHeight="1">
      <c r="A922" s="56"/>
      <c r="B922" s="56"/>
      <c r="C922" s="56"/>
      <c r="D922" s="56"/>
    </row>
    <row r="923" ht="15.75" customHeight="1">
      <c r="A923" s="56"/>
      <c r="B923" s="56"/>
      <c r="C923" s="56"/>
      <c r="D923" s="56"/>
    </row>
    <row r="924" ht="15.75" customHeight="1">
      <c r="A924" s="56"/>
      <c r="B924" s="56"/>
      <c r="C924" s="56"/>
      <c r="D924" s="56"/>
    </row>
    <row r="925" ht="15.75" customHeight="1">
      <c r="A925" s="56"/>
      <c r="B925" s="56"/>
      <c r="C925" s="56"/>
      <c r="D925" s="56"/>
    </row>
    <row r="926" ht="15.75" customHeight="1">
      <c r="A926" s="56"/>
      <c r="B926" s="56"/>
      <c r="C926" s="56"/>
      <c r="D926" s="56"/>
    </row>
    <row r="927" ht="15.75" customHeight="1">
      <c r="A927" s="56"/>
      <c r="B927" s="56"/>
      <c r="C927" s="56"/>
      <c r="D927" s="56"/>
    </row>
    <row r="928" ht="15.75" customHeight="1">
      <c r="A928" s="56"/>
      <c r="B928" s="56"/>
      <c r="C928" s="56"/>
      <c r="D928" s="56"/>
    </row>
    <row r="929" ht="15.75" customHeight="1">
      <c r="A929" s="56"/>
      <c r="B929" s="56"/>
      <c r="C929" s="56"/>
      <c r="D929" s="56"/>
    </row>
    <row r="930" ht="15.75" customHeight="1">
      <c r="A930" s="56"/>
      <c r="B930" s="56"/>
      <c r="C930" s="56"/>
      <c r="D930" s="56"/>
    </row>
    <row r="931" ht="15.75" customHeight="1">
      <c r="A931" s="56"/>
      <c r="B931" s="56"/>
      <c r="C931" s="56"/>
      <c r="D931" s="56"/>
    </row>
    <row r="932" ht="15.75" customHeight="1">
      <c r="A932" s="56"/>
      <c r="B932" s="56"/>
      <c r="C932" s="56"/>
      <c r="D932" s="56"/>
    </row>
    <row r="933" ht="15.75" customHeight="1">
      <c r="A933" s="56"/>
      <c r="B933" s="56"/>
      <c r="C933" s="56"/>
      <c r="D933" s="56"/>
    </row>
    <row r="934" ht="15.75" customHeight="1">
      <c r="A934" s="56"/>
      <c r="B934" s="56"/>
      <c r="C934" s="56"/>
      <c r="D934" s="56"/>
    </row>
    <row r="935" ht="15.75" customHeight="1">
      <c r="A935" s="56"/>
      <c r="B935" s="56"/>
      <c r="C935" s="56"/>
      <c r="D935" s="56"/>
    </row>
    <row r="936" ht="15.75" customHeight="1">
      <c r="A936" s="56"/>
      <c r="B936" s="56"/>
      <c r="C936" s="56"/>
      <c r="D936" s="56"/>
    </row>
    <row r="937" ht="15.75" customHeight="1">
      <c r="A937" s="56"/>
      <c r="B937" s="56"/>
      <c r="C937" s="56"/>
      <c r="D937" s="56"/>
    </row>
    <row r="938" ht="15.75" customHeight="1">
      <c r="A938" s="56"/>
      <c r="B938" s="56"/>
      <c r="C938" s="56"/>
      <c r="D938" s="56"/>
    </row>
    <row r="939" ht="15.75" customHeight="1">
      <c r="A939" s="56"/>
      <c r="B939" s="56"/>
      <c r="C939" s="56"/>
      <c r="D939" s="56"/>
    </row>
    <row r="940" ht="15.75" customHeight="1">
      <c r="A940" s="56"/>
      <c r="B940" s="56"/>
      <c r="C940" s="56"/>
      <c r="D940" s="56"/>
    </row>
    <row r="941" ht="15.75" customHeight="1">
      <c r="A941" s="56"/>
      <c r="B941" s="56"/>
      <c r="C941" s="56"/>
      <c r="D941" s="56"/>
    </row>
    <row r="942" ht="15.75" customHeight="1">
      <c r="A942" s="56"/>
      <c r="B942" s="56"/>
      <c r="C942" s="56"/>
      <c r="D942" s="56"/>
    </row>
    <row r="943" ht="15.75" customHeight="1">
      <c r="A943" s="56"/>
      <c r="B943" s="56"/>
      <c r="C943" s="56"/>
      <c r="D943" s="56"/>
    </row>
    <row r="944" ht="15.75" customHeight="1">
      <c r="A944" s="56"/>
      <c r="B944" s="56"/>
      <c r="C944" s="56"/>
      <c r="D944" s="56"/>
    </row>
    <row r="945" ht="15.75" customHeight="1">
      <c r="A945" s="56"/>
      <c r="B945" s="56"/>
      <c r="C945" s="56"/>
      <c r="D945" s="56"/>
    </row>
    <row r="946" ht="15.75" customHeight="1">
      <c r="A946" s="56"/>
      <c r="B946" s="56"/>
      <c r="C946" s="56"/>
      <c r="D946" s="56"/>
    </row>
    <row r="947" ht="15.75" customHeight="1">
      <c r="A947" s="56"/>
      <c r="B947" s="56"/>
      <c r="C947" s="56"/>
      <c r="D947" s="56"/>
    </row>
    <row r="948" ht="15.75" customHeight="1">
      <c r="A948" s="56"/>
      <c r="B948" s="56"/>
      <c r="C948" s="56"/>
      <c r="D948" s="56"/>
    </row>
    <row r="949" ht="15.75" customHeight="1">
      <c r="A949" s="56"/>
      <c r="B949" s="56"/>
      <c r="C949" s="56"/>
      <c r="D949" s="56"/>
    </row>
    <row r="950" ht="15.75" customHeight="1">
      <c r="A950" s="56"/>
      <c r="B950" s="56"/>
      <c r="C950" s="56"/>
      <c r="D950" s="56"/>
    </row>
    <row r="951" ht="15.75" customHeight="1">
      <c r="A951" s="56"/>
      <c r="B951" s="56"/>
      <c r="C951" s="56"/>
      <c r="D951" s="56"/>
    </row>
    <row r="952" ht="15.75" customHeight="1">
      <c r="A952" s="56"/>
      <c r="B952" s="56"/>
      <c r="C952" s="56"/>
      <c r="D952" s="56"/>
    </row>
    <row r="953" ht="15.75" customHeight="1">
      <c r="A953" s="56"/>
      <c r="B953" s="56"/>
      <c r="C953" s="56"/>
      <c r="D953" s="56"/>
    </row>
    <row r="954" ht="15.75" customHeight="1">
      <c r="A954" s="56"/>
      <c r="B954" s="56"/>
      <c r="C954" s="56"/>
      <c r="D954" s="56"/>
    </row>
    <row r="955" ht="15.75" customHeight="1">
      <c r="A955" s="56"/>
      <c r="B955" s="56"/>
      <c r="C955" s="56"/>
      <c r="D955" s="56"/>
    </row>
    <row r="956" ht="15.75" customHeight="1">
      <c r="A956" s="56"/>
      <c r="B956" s="56"/>
      <c r="C956" s="56"/>
      <c r="D956" s="56"/>
    </row>
    <row r="957" ht="15.75" customHeight="1">
      <c r="A957" s="56"/>
      <c r="B957" s="56"/>
      <c r="C957" s="56"/>
      <c r="D957" s="56"/>
    </row>
    <row r="958" ht="15.75" customHeight="1">
      <c r="A958" s="56"/>
      <c r="B958" s="56"/>
      <c r="C958" s="56"/>
      <c r="D958" s="56"/>
    </row>
    <row r="959" ht="15.75" customHeight="1">
      <c r="A959" s="56"/>
      <c r="B959" s="56"/>
      <c r="C959" s="56"/>
      <c r="D959" s="56"/>
    </row>
    <row r="960" ht="15.75" customHeight="1">
      <c r="A960" s="56"/>
      <c r="B960" s="56"/>
      <c r="C960" s="56"/>
      <c r="D960" s="56"/>
    </row>
    <row r="961" ht="15.75" customHeight="1">
      <c r="A961" s="56"/>
      <c r="B961" s="56"/>
      <c r="C961" s="56"/>
      <c r="D961" s="56"/>
    </row>
    <row r="962" ht="15.75" customHeight="1">
      <c r="A962" s="56"/>
      <c r="B962" s="56"/>
      <c r="C962" s="56"/>
      <c r="D962" s="56"/>
    </row>
    <row r="963" ht="15.75" customHeight="1">
      <c r="A963" s="56"/>
      <c r="B963" s="56"/>
      <c r="C963" s="56"/>
      <c r="D963" s="56"/>
    </row>
    <row r="964" ht="15.75" customHeight="1">
      <c r="A964" s="56"/>
      <c r="B964" s="56"/>
      <c r="C964" s="56"/>
      <c r="D964" s="56"/>
    </row>
    <row r="965" ht="15.75" customHeight="1">
      <c r="A965" s="56"/>
      <c r="B965" s="56"/>
      <c r="C965" s="56"/>
      <c r="D965" s="56"/>
    </row>
    <row r="966" ht="15.75" customHeight="1">
      <c r="A966" s="56"/>
      <c r="B966" s="56"/>
      <c r="C966" s="56"/>
      <c r="D966" s="56"/>
    </row>
    <row r="967" ht="15.75" customHeight="1">
      <c r="A967" s="56"/>
      <c r="B967" s="56"/>
      <c r="C967" s="56"/>
      <c r="D967" s="56"/>
    </row>
    <row r="968" ht="15.75" customHeight="1">
      <c r="A968" s="56"/>
      <c r="B968" s="56"/>
      <c r="C968" s="56"/>
      <c r="D968" s="56"/>
    </row>
    <row r="969" ht="15.75" customHeight="1">
      <c r="A969" s="56"/>
      <c r="B969" s="56"/>
      <c r="C969" s="56"/>
      <c r="D969" s="56"/>
    </row>
    <row r="970" ht="15.75" customHeight="1">
      <c r="A970" s="56"/>
      <c r="B970" s="56"/>
      <c r="C970" s="56"/>
      <c r="D970" s="56"/>
    </row>
    <row r="971" ht="15.75" customHeight="1">
      <c r="A971" s="56"/>
      <c r="B971" s="56"/>
      <c r="C971" s="56"/>
      <c r="D971" s="56"/>
    </row>
    <row r="972" ht="15.75" customHeight="1">
      <c r="A972" s="56"/>
      <c r="B972" s="56"/>
      <c r="C972" s="56"/>
      <c r="D972" s="56"/>
    </row>
    <row r="973" ht="15.75" customHeight="1">
      <c r="A973" s="56"/>
      <c r="B973" s="56"/>
      <c r="C973" s="56"/>
      <c r="D973" s="56"/>
    </row>
    <row r="974" ht="15.75" customHeight="1">
      <c r="A974" s="56"/>
      <c r="B974" s="56"/>
      <c r="C974" s="56"/>
      <c r="D974" s="56"/>
    </row>
    <row r="975" ht="15.75" customHeight="1">
      <c r="A975" s="56"/>
      <c r="B975" s="56"/>
      <c r="C975" s="56"/>
      <c r="D975" s="56"/>
    </row>
    <row r="976" ht="15.75" customHeight="1">
      <c r="A976" s="56"/>
      <c r="B976" s="56"/>
      <c r="C976" s="56"/>
      <c r="D976" s="56"/>
    </row>
    <row r="977" ht="15.75" customHeight="1">
      <c r="A977" s="56"/>
      <c r="B977" s="56"/>
      <c r="C977" s="56"/>
      <c r="D977" s="56"/>
    </row>
    <row r="978" ht="15.75" customHeight="1">
      <c r="A978" s="56"/>
      <c r="B978" s="56"/>
      <c r="C978" s="56"/>
      <c r="D978" s="56"/>
    </row>
    <row r="979" ht="15.75" customHeight="1">
      <c r="A979" s="56"/>
      <c r="B979" s="56"/>
      <c r="C979" s="56"/>
      <c r="D979" s="56"/>
    </row>
    <row r="980" ht="15.75" customHeight="1">
      <c r="A980" s="56"/>
      <c r="B980" s="56"/>
      <c r="C980" s="56"/>
      <c r="D980" s="56"/>
    </row>
    <row r="981" ht="15.75" customHeight="1">
      <c r="A981" s="56"/>
      <c r="B981" s="56"/>
      <c r="C981" s="56"/>
      <c r="D981" s="56"/>
    </row>
    <row r="982" ht="15.75" customHeight="1">
      <c r="A982" s="56"/>
      <c r="B982" s="56"/>
      <c r="C982" s="56"/>
      <c r="D982" s="56"/>
    </row>
    <row r="983" ht="15.75" customHeight="1">
      <c r="A983" s="56"/>
      <c r="B983" s="56"/>
      <c r="C983" s="56"/>
      <c r="D983" s="56"/>
    </row>
    <row r="984" ht="15.75" customHeight="1">
      <c r="A984" s="56"/>
      <c r="B984" s="56"/>
      <c r="C984" s="56"/>
      <c r="D984" s="56"/>
    </row>
    <row r="985" ht="15.75" customHeight="1">
      <c r="A985" s="56"/>
      <c r="B985" s="56"/>
      <c r="C985" s="56"/>
      <c r="D985" s="56"/>
    </row>
    <row r="986" ht="15.75" customHeight="1">
      <c r="A986" s="56"/>
      <c r="B986" s="56"/>
      <c r="C986" s="56"/>
      <c r="D986" s="56"/>
    </row>
    <row r="987" ht="15.75" customHeight="1">
      <c r="A987" s="56"/>
      <c r="B987" s="56"/>
      <c r="C987" s="56"/>
      <c r="D987" s="56"/>
    </row>
    <row r="988" ht="15.75" customHeight="1">
      <c r="A988" s="56"/>
      <c r="B988" s="56"/>
      <c r="C988" s="56"/>
      <c r="D988" s="56"/>
    </row>
    <row r="989" ht="15.75" customHeight="1">
      <c r="A989" s="56"/>
      <c r="B989" s="56"/>
      <c r="C989" s="56"/>
      <c r="D989" s="56"/>
    </row>
    <row r="990" ht="15.75" customHeight="1">
      <c r="A990" s="56"/>
      <c r="B990" s="56"/>
      <c r="C990" s="56"/>
      <c r="D990" s="56"/>
    </row>
    <row r="991" ht="15.75" customHeight="1">
      <c r="A991" s="56"/>
      <c r="B991" s="56"/>
      <c r="C991" s="56"/>
      <c r="D991" s="56"/>
    </row>
    <row r="992" ht="15.75" customHeight="1">
      <c r="A992" s="56"/>
      <c r="B992" s="56"/>
      <c r="C992" s="56"/>
      <c r="D992" s="56"/>
    </row>
    <row r="993" ht="15.75" customHeight="1">
      <c r="A993" s="56"/>
      <c r="B993" s="56"/>
      <c r="C993" s="56"/>
      <c r="D993" s="56"/>
    </row>
    <row r="994" ht="15.75" customHeight="1">
      <c r="A994" s="56"/>
      <c r="B994" s="56"/>
      <c r="C994" s="56"/>
      <c r="D994" s="56"/>
    </row>
    <row r="995" ht="15.75" customHeight="1">
      <c r="A995" s="56"/>
      <c r="B995" s="56"/>
      <c r="C995" s="56"/>
      <c r="D995" s="56"/>
    </row>
    <row r="996" ht="15.75" customHeight="1">
      <c r="A996" s="56"/>
      <c r="B996" s="56"/>
      <c r="C996" s="56"/>
      <c r="D996" s="56"/>
    </row>
    <row r="997" ht="15.75" customHeight="1">
      <c r="A997" s="56"/>
      <c r="B997" s="56"/>
      <c r="C997" s="56"/>
      <c r="D997" s="56"/>
    </row>
    <row r="998" ht="15.75" customHeight="1">
      <c r="A998" s="56"/>
      <c r="B998" s="56"/>
      <c r="C998" s="56"/>
      <c r="D998" s="56"/>
    </row>
    <row r="999" ht="15.75" customHeight="1">
      <c r="A999" s="56"/>
      <c r="B999" s="56"/>
      <c r="C999" s="56"/>
      <c r="D999" s="56"/>
    </row>
    <row r="1000" ht="15.75" customHeight="1">
      <c r="A1000" s="56"/>
      <c r="B1000" s="56"/>
      <c r="C1000" s="56"/>
      <c r="D1000" s="56"/>
    </row>
  </sheetData>
  <mergeCells count="9">
    <mergeCell ref="A13:C13"/>
    <mergeCell ref="A14:C14"/>
    <mergeCell ref="A3:C3"/>
    <mergeCell ref="A4:C4"/>
    <mergeCell ref="A5:C5"/>
    <mergeCell ref="A6:C6"/>
    <mergeCell ref="A7:C7"/>
    <mergeCell ref="A11:C11"/>
    <mergeCell ref="A12:C1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14"/>
    <col customWidth="1" min="2" max="2" width="13.29"/>
    <col customWidth="1" min="3" max="3" width="14.29"/>
    <col customWidth="1" min="4" max="4" width="13.86"/>
    <col customWidth="1" min="5" max="5" width="13.43"/>
    <col customWidth="1" min="6" max="6" width="14.43"/>
    <col customWidth="1" min="7" max="26" width="8.86"/>
  </cols>
  <sheetData>
    <row r="1">
      <c r="A1" s="68" t="s">
        <v>412</v>
      </c>
    </row>
    <row r="2">
      <c r="A2" s="68" t="s">
        <v>413</v>
      </c>
    </row>
    <row r="3" ht="31.5" customHeight="1">
      <c r="A3" s="3" t="s">
        <v>413</v>
      </c>
      <c r="B3" s="1" t="s">
        <v>414</v>
      </c>
      <c r="C3" s="1" t="s">
        <v>415</v>
      </c>
      <c r="D3" s="1" t="s">
        <v>416</v>
      </c>
      <c r="E3" s="1" t="s">
        <v>417</v>
      </c>
      <c r="F3" s="365"/>
    </row>
    <row r="4" ht="17.25" customHeight="1">
      <c r="A4" s="366" t="s">
        <v>418</v>
      </c>
      <c r="B4" s="367"/>
      <c r="C4" s="367"/>
      <c r="D4" s="367"/>
      <c r="E4" s="367"/>
      <c r="F4" s="365"/>
    </row>
    <row r="5" ht="17.25" customHeight="1">
      <c r="A5" s="368" t="s">
        <v>419</v>
      </c>
      <c r="B5" s="369"/>
      <c r="C5" s="369"/>
      <c r="D5" s="369"/>
      <c r="E5" s="368"/>
      <c r="F5" s="365"/>
    </row>
    <row r="6" ht="17.25" customHeight="1">
      <c r="A6" s="26" t="s">
        <v>420</v>
      </c>
      <c r="B6" s="30" t="s">
        <v>421</v>
      </c>
      <c r="C6" s="370">
        <v>0.175</v>
      </c>
      <c r="D6" s="30" t="s">
        <v>422</v>
      </c>
      <c r="E6" s="371">
        <v>29.8</v>
      </c>
      <c r="F6" s="365"/>
    </row>
    <row r="7" ht="17.25" customHeight="1">
      <c r="A7" s="26" t="s">
        <v>423</v>
      </c>
      <c r="B7" s="30">
        <v>2023.0</v>
      </c>
      <c r="C7" s="370">
        <f>(2517+4633+15091+15571)/1000000</f>
        <v>0.037812</v>
      </c>
      <c r="D7" s="30" t="s">
        <v>424</v>
      </c>
      <c r="E7" s="371">
        <f>0.992+1.205+5.344+8.335</f>
        <v>15.876</v>
      </c>
      <c r="F7" s="365"/>
    </row>
    <row r="8" ht="17.25" customHeight="1">
      <c r="A8" s="26" t="s">
        <v>423</v>
      </c>
      <c r="B8" s="30" t="s">
        <v>426</v>
      </c>
      <c r="C8" s="370">
        <v>0.022116</v>
      </c>
      <c r="D8" s="30" t="s">
        <v>427</v>
      </c>
      <c r="E8" s="371">
        <v>4.56</v>
      </c>
      <c r="F8" s="365"/>
    </row>
    <row r="9">
      <c r="A9" s="368" t="s">
        <v>418</v>
      </c>
      <c r="B9" s="369"/>
      <c r="C9" s="369"/>
      <c r="D9" s="369"/>
      <c r="E9" s="368"/>
      <c r="F9" s="56"/>
      <c r="G9" s="56"/>
      <c r="H9" s="56"/>
      <c r="I9" s="56"/>
      <c r="J9" s="56"/>
      <c r="K9" s="56"/>
      <c r="L9" s="56"/>
      <c r="M9" s="56"/>
      <c r="N9" s="56"/>
      <c r="O9" s="56"/>
      <c r="P9" s="56"/>
      <c r="Q9" s="56"/>
      <c r="R9" s="56"/>
      <c r="S9" s="56"/>
      <c r="T9" s="56"/>
      <c r="U9" s="56"/>
      <c r="V9" s="56"/>
      <c r="W9" s="56"/>
      <c r="X9" s="56"/>
      <c r="Y9" s="56"/>
      <c r="Z9" s="56"/>
    </row>
    <row r="10">
      <c r="A10" s="26" t="s">
        <v>429</v>
      </c>
      <c r="B10" s="30" t="s">
        <v>430</v>
      </c>
      <c r="C10" s="370">
        <v>4.1</v>
      </c>
      <c r="D10" s="30" t="s">
        <v>431</v>
      </c>
      <c r="E10" s="371" t="s">
        <v>431</v>
      </c>
      <c r="F10" s="373"/>
      <c r="G10" s="56"/>
      <c r="H10" s="56"/>
      <c r="I10" s="56"/>
      <c r="J10" s="56"/>
      <c r="K10" s="56"/>
      <c r="L10" s="56"/>
      <c r="M10" s="56"/>
      <c r="N10" s="56"/>
      <c r="O10" s="56"/>
      <c r="P10" s="56"/>
      <c r="Q10" s="56"/>
      <c r="R10" s="56"/>
      <c r="S10" s="56"/>
      <c r="T10" s="56"/>
      <c r="U10" s="56"/>
      <c r="V10" s="56"/>
      <c r="W10" s="56"/>
      <c r="X10" s="56"/>
      <c r="Y10" s="56"/>
      <c r="Z10" s="56"/>
    </row>
    <row r="11">
      <c r="A11" s="26" t="s">
        <v>433</v>
      </c>
      <c r="B11" s="30" t="s">
        <v>434</v>
      </c>
      <c r="C11" s="370">
        <v>0.63121</v>
      </c>
      <c r="D11" s="30" t="s">
        <v>431</v>
      </c>
      <c r="E11" s="371" t="s">
        <v>431</v>
      </c>
      <c r="F11" s="373"/>
      <c r="G11" s="56"/>
      <c r="H11" s="56"/>
      <c r="I11" s="56"/>
      <c r="J11" s="56"/>
      <c r="K11" s="56"/>
      <c r="L11" s="56"/>
      <c r="M11" s="56"/>
      <c r="N11" s="56"/>
      <c r="O11" s="56"/>
      <c r="P11" s="56"/>
      <c r="Q11" s="56"/>
      <c r="R11" s="56"/>
      <c r="S11" s="56"/>
      <c r="T11" s="56"/>
      <c r="U11" s="56"/>
      <c r="V11" s="56"/>
      <c r="W11" s="56"/>
      <c r="X11" s="56"/>
      <c r="Y11" s="56"/>
      <c r="Z11" s="56"/>
    </row>
    <row r="12">
      <c r="A12" s="378" t="s">
        <v>438</v>
      </c>
      <c r="B12" s="379"/>
      <c r="C12" s="380"/>
      <c r="D12" s="379"/>
      <c r="E12" s="382"/>
      <c r="F12" s="383"/>
      <c r="G12" s="73"/>
      <c r="H12" s="73"/>
      <c r="I12" s="73"/>
      <c r="J12" s="73"/>
      <c r="K12" s="73"/>
      <c r="L12" s="73"/>
      <c r="M12" s="73"/>
      <c r="N12" s="73"/>
      <c r="O12" s="73"/>
      <c r="P12" s="73"/>
      <c r="Q12" s="73"/>
      <c r="R12" s="73"/>
      <c r="S12" s="73"/>
      <c r="T12" s="73"/>
      <c r="U12" s="73"/>
      <c r="V12" s="73"/>
      <c r="W12" s="73"/>
      <c r="X12" s="73"/>
      <c r="Y12" s="73"/>
      <c r="Z12" s="73"/>
    </row>
    <row r="13">
      <c r="A13" s="26" t="s">
        <v>445</v>
      </c>
      <c r="B13" s="262">
        <v>2021.0</v>
      </c>
      <c r="C13" s="262" t="s">
        <v>446</v>
      </c>
      <c r="D13" s="30" t="s">
        <v>447</v>
      </c>
      <c r="E13" s="262" t="s">
        <v>446</v>
      </c>
    </row>
    <row r="14">
      <c r="A14" s="26" t="s">
        <v>448</v>
      </c>
      <c r="B14" s="262">
        <v>2021.0</v>
      </c>
      <c r="C14" s="262" t="s">
        <v>446</v>
      </c>
      <c r="D14" s="386">
        <v>2000.0</v>
      </c>
      <c r="E14" s="262" t="s">
        <v>446</v>
      </c>
    </row>
    <row r="15">
      <c r="A15" s="26" t="s">
        <v>455</v>
      </c>
      <c r="B15" s="30" t="s">
        <v>456</v>
      </c>
      <c r="C15" s="370">
        <v>1.0</v>
      </c>
      <c r="D15" s="390">
        <v>200.0</v>
      </c>
      <c r="E15" s="371">
        <v>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0.86"/>
    <col customWidth="1" min="3" max="3" width="18.71"/>
    <col customWidth="1" min="4" max="26" width="10.86"/>
  </cols>
  <sheetData>
    <row r="1">
      <c r="A1" s="11" t="s">
        <v>425</v>
      </c>
    </row>
    <row r="2" ht="33.0" customHeight="1">
      <c r="A2" s="372" t="s">
        <v>428</v>
      </c>
    </row>
    <row r="4">
      <c r="A4" s="374" t="s">
        <v>432</v>
      </c>
      <c r="B4" s="375" t="s">
        <v>435</v>
      </c>
      <c r="C4" s="376" t="s">
        <v>436</v>
      </c>
      <c r="D4" s="377" t="s">
        <v>437</v>
      </c>
      <c r="E4" s="377" t="s">
        <v>439</v>
      </c>
      <c r="F4" s="377" t="s">
        <v>440</v>
      </c>
      <c r="G4" s="377" t="s">
        <v>441</v>
      </c>
      <c r="H4" s="377" t="s">
        <v>442</v>
      </c>
      <c r="I4" s="381" t="s">
        <v>443</v>
      </c>
    </row>
    <row r="5">
      <c r="A5" s="384" t="s">
        <v>444</v>
      </c>
      <c r="B5" s="334">
        <v>64.0</v>
      </c>
      <c r="C5" s="68">
        <v>0.0</v>
      </c>
      <c r="D5" s="8">
        <v>8.0</v>
      </c>
      <c r="E5" s="68">
        <v>122.0</v>
      </c>
      <c r="F5" s="68">
        <v>0.0</v>
      </c>
      <c r="G5" s="68">
        <v>0.0</v>
      </c>
      <c r="H5" s="68">
        <v>0.0</v>
      </c>
      <c r="I5" s="391">
        <f t="shared" ref="I5:I26" si="1">AVERAGE(F5:H5)</f>
        <v>0</v>
      </c>
    </row>
    <row r="6">
      <c r="A6" s="392" t="s">
        <v>457</v>
      </c>
      <c r="B6" s="334">
        <v>112.0</v>
      </c>
      <c r="C6" s="334">
        <v>11.6</v>
      </c>
      <c r="D6" s="8" t="s">
        <v>458</v>
      </c>
      <c r="E6" s="68">
        <v>81.0</v>
      </c>
      <c r="F6" s="68">
        <v>2.8</v>
      </c>
      <c r="G6" s="68">
        <v>4.7</v>
      </c>
      <c r="H6" s="68">
        <v>4.2</v>
      </c>
      <c r="I6" s="391">
        <f t="shared" si="1"/>
        <v>3.9</v>
      </c>
    </row>
    <row r="7">
      <c r="A7" s="392" t="s">
        <v>459</v>
      </c>
      <c r="B7" s="334">
        <v>100.0</v>
      </c>
      <c r="C7" s="68">
        <v>14.1</v>
      </c>
      <c r="D7" s="8" t="s">
        <v>458</v>
      </c>
      <c r="E7" s="68">
        <v>13.0</v>
      </c>
      <c r="F7" s="68">
        <v>10.0</v>
      </c>
      <c r="G7" s="68">
        <v>-1.3</v>
      </c>
      <c r="H7" s="68">
        <v>5.4</v>
      </c>
      <c r="I7" s="391">
        <f t="shared" si="1"/>
        <v>4.7</v>
      </c>
    </row>
    <row r="8">
      <c r="A8" s="392" t="s">
        <v>460</v>
      </c>
      <c r="B8" s="334">
        <v>97.0</v>
      </c>
      <c r="C8" s="68">
        <v>14.1</v>
      </c>
      <c r="D8" s="8" t="s">
        <v>461</v>
      </c>
      <c r="E8" s="68">
        <v>147.0</v>
      </c>
      <c r="F8" s="68">
        <v>3.8</v>
      </c>
      <c r="G8" s="68">
        <v>6.3</v>
      </c>
      <c r="H8" s="68">
        <v>4.0</v>
      </c>
      <c r="I8" s="391">
        <f t="shared" si="1"/>
        <v>4.7</v>
      </c>
      <c r="J8" s="393" t="s">
        <v>462</v>
      </c>
    </row>
    <row r="9">
      <c r="A9" s="392" t="s">
        <v>463</v>
      </c>
      <c r="B9" s="334">
        <v>112.0</v>
      </c>
      <c r="C9" s="68">
        <v>16.5</v>
      </c>
      <c r="D9" s="8" t="s">
        <v>464</v>
      </c>
      <c r="E9" s="68">
        <v>103.0</v>
      </c>
      <c r="F9" s="68">
        <v>5.9</v>
      </c>
      <c r="G9" s="68">
        <v>5.1</v>
      </c>
      <c r="H9" s="68">
        <v>5.5</v>
      </c>
      <c r="I9" s="391">
        <f t="shared" si="1"/>
        <v>5.5</v>
      </c>
      <c r="J9" s="393" t="s">
        <v>465</v>
      </c>
    </row>
    <row r="10">
      <c r="A10" s="392" t="s">
        <v>466</v>
      </c>
      <c r="B10" s="334">
        <v>100.0</v>
      </c>
      <c r="C10" s="68">
        <v>16.6</v>
      </c>
      <c r="D10" s="8" t="s">
        <v>467</v>
      </c>
      <c r="E10" s="68">
        <v>26.0</v>
      </c>
      <c r="F10" s="68">
        <v>5.5</v>
      </c>
      <c r="G10" s="68">
        <v>5.5</v>
      </c>
      <c r="H10" s="68">
        <v>5.5</v>
      </c>
      <c r="I10" s="391">
        <f t="shared" si="1"/>
        <v>5.5</v>
      </c>
    </row>
    <row r="11">
      <c r="A11" s="392" t="s">
        <v>468</v>
      </c>
      <c r="B11" s="334">
        <v>112.0</v>
      </c>
      <c r="C11" s="334">
        <v>16.6</v>
      </c>
      <c r="D11" s="8" t="s">
        <v>458</v>
      </c>
      <c r="E11" s="68">
        <v>81.0</v>
      </c>
      <c r="F11" s="68">
        <v>3.8</v>
      </c>
      <c r="G11" s="68">
        <v>6.6</v>
      </c>
      <c r="H11" s="68">
        <v>6.1</v>
      </c>
      <c r="I11" s="391">
        <f t="shared" si="1"/>
        <v>5.5</v>
      </c>
      <c r="J11" s="393" t="s">
        <v>465</v>
      </c>
    </row>
    <row r="12">
      <c r="A12" s="392" t="s">
        <v>469</v>
      </c>
      <c r="B12" s="334">
        <v>100.0</v>
      </c>
      <c r="C12" s="334">
        <v>17.8</v>
      </c>
      <c r="D12" s="8" t="s">
        <v>470</v>
      </c>
      <c r="E12" s="68">
        <v>31.0</v>
      </c>
      <c r="F12" s="68">
        <v>5.9</v>
      </c>
      <c r="G12" s="68">
        <v>5.9</v>
      </c>
      <c r="H12" s="68">
        <v>5.9</v>
      </c>
      <c r="I12" s="391">
        <f t="shared" si="1"/>
        <v>5.9</v>
      </c>
    </row>
    <row r="13">
      <c r="A13" s="392" t="s">
        <v>471</v>
      </c>
      <c r="B13" s="334">
        <v>100.0</v>
      </c>
      <c r="C13" s="68">
        <v>18.0</v>
      </c>
      <c r="D13" s="8" t="s">
        <v>472</v>
      </c>
      <c r="E13" s="68">
        <v>18.0</v>
      </c>
      <c r="F13" s="68">
        <v>11.0</v>
      </c>
      <c r="G13" s="68">
        <v>5.6</v>
      </c>
      <c r="H13" s="68">
        <v>8.1</v>
      </c>
      <c r="I13" s="391">
        <f t="shared" si="1"/>
        <v>8.233333333</v>
      </c>
    </row>
    <row r="14">
      <c r="A14" s="392" t="s">
        <v>473</v>
      </c>
      <c r="B14" s="334">
        <v>112.0</v>
      </c>
      <c r="C14" s="334">
        <v>19.3</v>
      </c>
      <c r="D14" s="8" t="s">
        <v>458</v>
      </c>
      <c r="E14" s="68">
        <v>81.0</v>
      </c>
      <c r="F14" s="68">
        <v>4.4</v>
      </c>
      <c r="G14" s="68">
        <v>7.8</v>
      </c>
      <c r="H14" s="68">
        <v>7.2</v>
      </c>
      <c r="I14" s="391">
        <f t="shared" si="1"/>
        <v>6.466666667</v>
      </c>
    </row>
    <row r="15">
      <c r="A15" s="392" t="s">
        <v>474</v>
      </c>
      <c r="B15" s="334">
        <v>100.0</v>
      </c>
      <c r="C15" s="68">
        <v>20.4</v>
      </c>
      <c r="D15" s="8" t="s">
        <v>475</v>
      </c>
      <c r="E15" s="68">
        <v>48.0</v>
      </c>
      <c r="F15" s="68">
        <v>5.9</v>
      </c>
      <c r="G15" s="68">
        <v>5.9</v>
      </c>
      <c r="H15" s="68">
        <v>8.5</v>
      </c>
      <c r="I15" s="391">
        <f t="shared" si="1"/>
        <v>6.766666667</v>
      </c>
    </row>
    <row r="16">
      <c r="A16" s="392" t="s">
        <v>476</v>
      </c>
      <c r="B16" s="334">
        <v>100.0</v>
      </c>
      <c r="C16" s="334">
        <v>20.4</v>
      </c>
      <c r="D16" s="8" t="s">
        <v>477</v>
      </c>
      <c r="E16" s="68">
        <v>45.0</v>
      </c>
      <c r="F16" s="68">
        <v>8.3</v>
      </c>
      <c r="G16" s="68">
        <v>6.6</v>
      </c>
      <c r="H16" s="68">
        <v>5.5</v>
      </c>
      <c r="I16" s="391">
        <f t="shared" si="1"/>
        <v>6.8</v>
      </c>
    </row>
    <row r="17">
      <c r="A17" s="392" t="s">
        <v>478</v>
      </c>
      <c r="B17" s="334">
        <v>100.0</v>
      </c>
      <c r="C17" s="334">
        <v>20.5</v>
      </c>
      <c r="D17" s="8" t="s">
        <v>479</v>
      </c>
      <c r="E17" s="68">
        <v>2.0</v>
      </c>
      <c r="F17" s="68">
        <v>8.6</v>
      </c>
      <c r="G17" s="68">
        <v>5.9</v>
      </c>
      <c r="H17" s="68">
        <v>5.9</v>
      </c>
      <c r="I17" s="391">
        <f t="shared" si="1"/>
        <v>6.8</v>
      </c>
    </row>
    <row r="18">
      <c r="A18" s="392" t="s">
        <v>480</v>
      </c>
      <c r="B18" s="334">
        <v>1.0</v>
      </c>
      <c r="C18" s="68">
        <v>20.9</v>
      </c>
      <c r="D18" s="8" t="s">
        <v>470</v>
      </c>
      <c r="E18" s="68">
        <v>430.0</v>
      </c>
      <c r="F18" s="68">
        <v>6.4</v>
      </c>
      <c r="G18" s="68">
        <v>8.4</v>
      </c>
      <c r="H18" s="68">
        <v>6.1</v>
      </c>
      <c r="I18" s="391">
        <f t="shared" si="1"/>
        <v>6.966666667</v>
      </c>
    </row>
    <row r="19">
      <c r="A19" s="392" t="s">
        <v>481</v>
      </c>
      <c r="B19" s="334">
        <v>1.0</v>
      </c>
      <c r="C19" s="68">
        <v>20.9</v>
      </c>
      <c r="D19" s="8" t="s">
        <v>470</v>
      </c>
      <c r="E19" s="68">
        <v>430.0</v>
      </c>
      <c r="F19" s="68">
        <v>6.4</v>
      </c>
      <c r="G19" s="68">
        <v>8.4</v>
      </c>
      <c r="H19" s="68">
        <v>6.1</v>
      </c>
      <c r="I19" s="391">
        <f t="shared" si="1"/>
        <v>6.966666667</v>
      </c>
    </row>
    <row r="20">
      <c r="A20" s="392" t="s">
        <v>482</v>
      </c>
      <c r="B20" s="334">
        <v>112.0</v>
      </c>
      <c r="C20" s="334">
        <v>21.7</v>
      </c>
      <c r="D20" s="8" t="s">
        <v>458</v>
      </c>
      <c r="E20" s="68">
        <v>81.0</v>
      </c>
      <c r="F20" s="68">
        <v>4.9</v>
      </c>
      <c r="G20" s="68">
        <v>8.7</v>
      </c>
      <c r="H20" s="68">
        <v>8.1</v>
      </c>
      <c r="I20" s="391">
        <f t="shared" si="1"/>
        <v>7.233333333</v>
      </c>
    </row>
    <row r="21" ht="15.75" customHeight="1">
      <c r="A21" s="392" t="s">
        <v>483</v>
      </c>
      <c r="B21" s="334">
        <v>112.0</v>
      </c>
      <c r="C21" s="334">
        <v>21.8</v>
      </c>
      <c r="D21" s="8" t="s">
        <v>458</v>
      </c>
      <c r="E21" s="68">
        <v>81.0</v>
      </c>
      <c r="F21" s="68">
        <v>5.0</v>
      </c>
      <c r="G21" s="68">
        <v>8.7</v>
      </c>
      <c r="H21" s="68">
        <v>8.1</v>
      </c>
      <c r="I21" s="391">
        <f t="shared" si="1"/>
        <v>7.266666667</v>
      </c>
    </row>
    <row r="22" ht="15.75" customHeight="1">
      <c r="A22" s="392" t="s">
        <v>484</v>
      </c>
      <c r="B22" s="334">
        <v>112.0</v>
      </c>
      <c r="C22" s="334">
        <v>24.2</v>
      </c>
      <c r="D22" s="8" t="s">
        <v>485</v>
      </c>
      <c r="E22" s="68">
        <v>80.0</v>
      </c>
      <c r="F22" s="68">
        <v>5.5</v>
      </c>
      <c r="G22" s="68">
        <v>9.7</v>
      </c>
      <c r="H22" s="68">
        <v>9.0</v>
      </c>
      <c r="I22" s="391">
        <f t="shared" si="1"/>
        <v>8.066666667</v>
      </c>
    </row>
    <row r="23" ht="15.75" customHeight="1">
      <c r="A23" s="392" t="s">
        <v>486</v>
      </c>
      <c r="B23" s="334">
        <v>100.0</v>
      </c>
      <c r="C23" s="334">
        <v>24.8</v>
      </c>
      <c r="D23" s="8" t="s">
        <v>487</v>
      </c>
      <c r="E23" s="68">
        <v>5.0</v>
      </c>
      <c r="F23" s="68">
        <v>8.4</v>
      </c>
      <c r="G23" s="68">
        <v>5.9</v>
      </c>
      <c r="H23" s="68">
        <v>10.5</v>
      </c>
      <c r="I23" s="391">
        <f t="shared" si="1"/>
        <v>8.266666667</v>
      </c>
    </row>
    <row r="24" ht="15.75" customHeight="1">
      <c r="A24" s="392" t="s">
        <v>488</v>
      </c>
      <c r="B24" s="334">
        <v>1.0</v>
      </c>
      <c r="C24" s="334">
        <v>26.1</v>
      </c>
      <c r="D24" s="394" t="s">
        <v>470</v>
      </c>
      <c r="E24" s="334">
        <v>97.0</v>
      </c>
      <c r="F24" s="334">
        <v>5.9</v>
      </c>
      <c r="G24" s="334">
        <v>10.5</v>
      </c>
      <c r="H24" s="334">
        <v>9.6</v>
      </c>
      <c r="I24" s="391">
        <f t="shared" si="1"/>
        <v>8.666666667</v>
      </c>
    </row>
    <row r="25" ht="15.75" customHeight="1">
      <c r="A25" s="392" t="s">
        <v>489</v>
      </c>
      <c r="B25" s="334">
        <v>1.0</v>
      </c>
      <c r="C25" s="68">
        <v>26.1</v>
      </c>
      <c r="D25" s="8" t="s">
        <v>470</v>
      </c>
      <c r="E25" s="68">
        <v>72.0</v>
      </c>
      <c r="F25" s="68">
        <v>5.9</v>
      </c>
      <c r="G25" s="68">
        <v>10.5</v>
      </c>
      <c r="H25" s="68">
        <v>9.6</v>
      </c>
      <c r="I25" s="391">
        <f t="shared" si="1"/>
        <v>8.666666667</v>
      </c>
    </row>
    <row r="26" ht="15.75" customHeight="1">
      <c r="A26" s="395" t="s">
        <v>490</v>
      </c>
      <c r="B26" s="396">
        <v>1.0</v>
      </c>
      <c r="C26" s="397">
        <v>26.1</v>
      </c>
      <c r="D26" s="398" t="s">
        <v>470</v>
      </c>
      <c r="E26" s="397">
        <v>15.0</v>
      </c>
      <c r="F26" s="397">
        <v>5.9</v>
      </c>
      <c r="G26" s="397">
        <v>10.5</v>
      </c>
      <c r="H26" s="397">
        <v>9.6</v>
      </c>
      <c r="I26" s="399">
        <f t="shared" si="1"/>
        <v>8.666666667</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T2"/>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6" width="10.71"/>
  </cols>
  <sheetData>
    <row r="1">
      <c r="B1" s="109" t="s">
        <v>125</v>
      </c>
      <c r="C1" s="109" t="s">
        <v>127</v>
      </c>
      <c r="D1" s="109" t="s">
        <v>128</v>
      </c>
      <c r="E1" s="109" t="s">
        <v>129</v>
      </c>
      <c r="F1" s="109" t="s">
        <v>130</v>
      </c>
    </row>
    <row r="2">
      <c r="A2" s="68" t="s">
        <v>491</v>
      </c>
      <c r="B2" s="118">
        <f>Master!$C$20</f>
        <v>5.664593</v>
      </c>
      <c r="C2" s="118">
        <f>Master!$C$20</f>
        <v>5.664593</v>
      </c>
      <c r="D2" s="118">
        <f>Master!$C$20</f>
        <v>5.664593</v>
      </c>
      <c r="E2" s="118">
        <f>Master!$C$20</f>
        <v>5.664593</v>
      </c>
      <c r="F2" s="118">
        <f>Master!$C$20</f>
        <v>5.664593</v>
      </c>
    </row>
    <row r="3">
      <c r="A3" s="68" t="s">
        <v>492</v>
      </c>
      <c r="B3" s="118">
        <v>10.857008</v>
      </c>
      <c r="C3" s="118">
        <v>10.857008</v>
      </c>
      <c r="D3" s="118">
        <v>10.857008</v>
      </c>
      <c r="E3" s="118">
        <v>10.857008</v>
      </c>
      <c r="F3" s="118">
        <v>10.857008</v>
      </c>
    </row>
    <row r="4">
      <c r="A4" s="68" t="s">
        <v>493</v>
      </c>
      <c r="B4" s="118">
        <v>2.22317</v>
      </c>
      <c r="C4" s="118">
        <v>2.22317</v>
      </c>
      <c r="D4" s="118">
        <v>2.22317</v>
      </c>
      <c r="E4" s="118">
        <v>2.22317</v>
      </c>
      <c r="F4" s="118">
        <v>2.22317</v>
      </c>
    </row>
    <row r="5">
      <c r="A5" s="68" t="s">
        <v>494</v>
      </c>
      <c r="B5" s="118"/>
      <c r="C5" s="118"/>
      <c r="D5" s="118"/>
      <c r="E5" s="118"/>
      <c r="F5" s="118"/>
    </row>
    <row r="6">
      <c r="B6" s="118"/>
      <c r="C6" s="118"/>
      <c r="D6" s="118"/>
      <c r="E6" s="118"/>
      <c r="F6" s="1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2021-03-26T20:44:10Z</dcterms:created>
  <dc:creator>david</dc:creator>
</cp:coreProperties>
</file>